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5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6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7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8.xml" ContentType="application/vnd.openxmlformats-officedocument.drawingml.chart+xml"/>
  <Override PartName="/xl/drawings/drawing2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1436" yWindow="-12" windowWidth="4800" windowHeight="4680" activeTab="3"/>
  </bookViews>
  <sheets>
    <sheet name="Smoke Point Datasheet" sheetId="5" r:id="rId1"/>
    <sheet name="Reference" sheetId="4" r:id="rId2"/>
    <sheet name="SH v. Coflow (2)" sheetId="55" r:id="rId3"/>
    <sheet name="SP - Fuel v. Air" sheetId="62" r:id="rId4"/>
    <sheet name="SH v. Coflow" sheetId="12" r:id="rId5"/>
    <sheet name="SH v. uf" sheetId="36" r:id="rId6"/>
    <sheet name="uf v. Coflow" sheetId="37" r:id="rId7"/>
    <sheet name="SH_d v. Re_Zst" sheetId="35" r:id="rId8"/>
    <sheet name="SH_d v. Re_Zst (2)" sheetId="38" r:id="rId9"/>
    <sheet name="SH_d v. Re" sheetId="44" r:id="rId10"/>
    <sheet name="SH v. ua_uf" sheetId="50" r:id="rId11"/>
    <sheet name="SH v. Mass Flow_Zst" sheetId="34" r:id="rId12"/>
    <sheet name="SH v. Mass Flow_Zst (2)" sheetId="51" r:id="rId13"/>
    <sheet name="SH v. Mass Flow" sheetId="43" r:id="rId14"/>
    <sheet name="Smoke Point Datasheet (2)" sheetId="52" r:id="rId15"/>
    <sheet name="Reference (2)" sheetId="61" r:id="rId16"/>
  </sheets>
  <calcPr calcId="145621"/>
</workbook>
</file>

<file path=xl/calcChain.xml><?xml version="1.0" encoding="utf-8"?>
<calcChain xmlns="http://schemas.openxmlformats.org/spreadsheetml/2006/main">
  <c r="S75" i="5" l="1"/>
  <c r="Z6" i="5"/>
  <c r="AD6" i="5"/>
  <c r="Z7" i="5"/>
  <c r="AD7" i="5"/>
  <c r="Z8" i="5"/>
  <c r="AD8" i="5"/>
  <c r="Z9" i="5"/>
  <c r="AD9" i="5"/>
  <c r="Z10" i="5"/>
  <c r="AD10" i="5"/>
  <c r="Z11" i="5"/>
  <c r="AD11" i="5"/>
  <c r="Z12" i="5"/>
  <c r="AD12" i="5"/>
  <c r="Z13" i="5"/>
  <c r="AE13" i="5" s="1"/>
  <c r="AF13" i="5" s="1"/>
  <c r="AD13" i="5"/>
  <c r="Z14" i="5"/>
  <c r="AD14" i="5"/>
  <c r="Z15" i="5"/>
  <c r="AD15" i="5"/>
  <c r="Z16" i="5"/>
  <c r="AA16" i="5" s="1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Z38" i="5"/>
  <c r="AE38" i="5" s="1"/>
  <c r="AD38" i="5"/>
  <c r="Z39" i="5"/>
  <c r="AD39" i="5"/>
  <c r="Z40" i="5"/>
  <c r="AD40" i="5"/>
  <c r="Z41" i="5"/>
  <c r="AD41" i="5"/>
  <c r="Z42" i="5"/>
  <c r="AD42" i="5"/>
  <c r="Z43" i="5"/>
  <c r="AE43" i="5"/>
  <c r="AD43" i="5"/>
  <c r="Z44" i="5"/>
  <c r="AD44" i="5"/>
  <c r="Z45" i="5"/>
  <c r="AD45" i="5"/>
  <c r="Z46" i="5"/>
  <c r="AE46" i="5" s="1"/>
  <c r="AD46" i="5"/>
  <c r="Z47" i="5"/>
  <c r="AE47" i="5" s="1"/>
  <c r="AH47" i="5" s="1"/>
  <c r="AK47" i="5" s="1"/>
  <c r="AD47" i="5"/>
  <c r="Z48" i="5"/>
  <c r="AE48" i="5" s="1"/>
  <c r="AD48" i="5"/>
  <c r="Z49" i="5"/>
  <c r="AE49" i="5" s="1"/>
  <c r="AD49" i="5"/>
  <c r="Z50" i="5"/>
  <c r="AD50" i="5"/>
  <c r="Z51" i="5"/>
  <c r="AE51" i="5" s="1"/>
  <c r="AD51" i="5"/>
  <c r="Z52" i="5"/>
  <c r="AE52" i="5" s="1"/>
  <c r="AD52" i="5"/>
  <c r="Z53" i="5"/>
  <c r="AE53" i="5"/>
  <c r="AD53" i="5"/>
  <c r="Z54" i="5"/>
  <c r="AE54" i="5" s="1"/>
  <c r="AF54" i="5" s="1"/>
  <c r="AD54" i="5"/>
  <c r="Z55" i="5"/>
  <c r="AD55" i="5"/>
  <c r="Z56" i="5"/>
  <c r="AD56" i="5"/>
  <c r="Z57" i="5"/>
  <c r="AE57" i="5" s="1"/>
  <c r="AD57" i="5"/>
  <c r="Z58" i="5"/>
  <c r="AD58" i="5"/>
  <c r="Z59" i="5"/>
  <c r="AE59" i="5"/>
  <c r="AD59" i="5"/>
  <c r="Z5" i="5"/>
  <c r="AD5" i="5"/>
  <c r="B23" i="61"/>
  <c r="B24" i="61"/>
  <c r="B42" i="61"/>
  <c r="F42" i="61"/>
  <c r="J42" i="61"/>
  <c r="N42" i="61"/>
  <c r="R42" i="61"/>
  <c r="B43" i="61"/>
  <c r="F43" i="61"/>
  <c r="J43" i="61"/>
  <c r="N43" i="61"/>
  <c r="R43" i="61"/>
  <c r="B60" i="61"/>
  <c r="F60" i="61"/>
  <c r="J60" i="61"/>
  <c r="N60" i="61"/>
  <c r="R60" i="61"/>
  <c r="B61" i="61"/>
  <c r="F61" i="61"/>
  <c r="J61" i="61"/>
  <c r="N61" i="61"/>
  <c r="R61" i="61"/>
  <c r="B78" i="61"/>
  <c r="F78" i="61"/>
  <c r="K78" i="61"/>
  <c r="N78" i="61"/>
  <c r="B79" i="61"/>
  <c r="F79" i="61"/>
  <c r="K79" i="61"/>
  <c r="N79" i="61"/>
  <c r="J32" i="5"/>
  <c r="J33" i="5"/>
  <c r="J34" i="5"/>
  <c r="J35" i="5"/>
  <c r="J36" i="5"/>
  <c r="J37" i="5"/>
  <c r="J31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59" i="5"/>
  <c r="AO60" i="5"/>
  <c r="AO5" i="5"/>
  <c r="BG5" i="5"/>
  <c r="BG6" i="5"/>
  <c r="BG7" i="5"/>
  <c r="BG8" i="5"/>
  <c r="BG9" i="5"/>
  <c r="BG11" i="5"/>
  <c r="BG12" i="5"/>
  <c r="BG13" i="5"/>
  <c r="BG17" i="5"/>
  <c r="BG18" i="5"/>
  <c r="BG19" i="5"/>
  <c r="BG20" i="5"/>
  <c r="BG21" i="5"/>
  <c r="BG22" i="5"/>
  <c r="BG23" i="5"/>
  <c r="BG24" i="5"/>
  <c r="BG25" i="5"/>
  <c r="BG26" i="5"/>
  <c r="BG31" i="5"/>
  <c r="BG32" i="5"/>
  <c r="BG33" i="5"/>
  <c r="BG34" i="5"/>
  <c r="BG35" i="5"/>
  <c r="BG36" i="5"/>
  <c r="BG37" i="5"/>
  <c r="BG38" i="5"/>
  <c r="BG39" i="5"/>
  <c r="BG40" i="5"/>
  <c r="BG41" i="5"/>
  <c r="BG42" i="5"/>
  <c r="BG43" i="5"/>
  <c r="BG44" i="5"/>
  <c r="BG45" i="5"/>
  <c r="BG46" i="5"/>
  <c r="BG47" i="5"/>
  <c r="BG48" i="5"/>
  <c r="BG49" i="5"/>
  <c r="BG50" i="5"/>
  <c r="BG51" i="5"/>
  <c r="BG52" i="5"/>
  <c r="BG53" i="5"/>
  <c r="BG54" i="5"/>
  <c r="BL15" i="5"/>
  <c r="BL16" i="5"/>
  <c r="BL17" i="5"/>
  <c r="BL18" i="5"/>
  <c r="BL19" i="5"/>
  <c r="BL20" i="5"/>
  <c r="BL21" i="5"/>
  <c r="BL35" i="5"/>
  <c r="BL36" i="5"/>
  <c r="BL37" i="5"/>
  <c r="BL38" i="5"/>
  <c r="BL39" i="5"/>
  <c r="BL14" i="5"/>
  <c r="S84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5" i="5"/>
  <c r="L26" i="4"/>
  <c r="AG40" i="52"/>
  <c r="AG41" i="52"/>
  <c r="AG42" i="52"/>
  <c r="AG43" i="52"/>
  <c r="AG44" i="52"/>
  <c r="AG45" i="52"/>
  <c r="AG46" i="52"/>
  <c r="AG47" i="52"/>
  <c r="AG48" i="52"/>
  <c r="AG49" i="52"/>
  <c r="AG50" i="52"/>
  <c r="AG51" i="52"/>
  <c r="AG52" i="52"/>
  <c r="AG53" i="52"/>
  <c r="AG54" i="52"/>
  <c r="AG55" i="52"/>
  <c r="AG56" i="52"/>
  <c r="AG57" i="52"/>
  <c r="AG58" i="52"/>
  <c r="AG59" i="52"/>
  <c r="AG39" i="52"/>
  <c r="AG32" i="52"/>
  <c r="AG33" i="52"/>
  <c r="AG34" i="52"/>
  <c r="AG35" i="52"/>
  <c r="AG36" i="52"/>
  <c r="AG37" i="52"/>
  <c r="AG38" i="52"/>
  <c r="AG31" i="52"/>
  <c r="AG18" i="52"/>
  <c r="AG19" i="52"/>
  <c r="AG20" i="52"/>
  <c r="AG21" i="52"/>
  <c r="AG22" i="52"/>
  <c r="AG23" i="52"/>
  <c r="AG24" i="52"/>
  <c r="AG25" i="52"/>
  <c r="AG26" i="52"/>
  <c r="AG27" i="52"/>
  <c r="AG28" i="52"/>
  <c r="AG29" i="52"/>
  <c r="AG30" i="52"/>
  <c r="AG17" i="52"/>
  <c r="AG12" i="52"/>
  <c r="AG13" i="52"/>
  <c r="AG14" i="52"/>
  <c r="AG15" i="52"/>
  <c r="AG16" i="52"/>
  <c r="AG11" i="52"/>
  <c r="AG6" i="52"/>
  <c r="AG7" i="52"/>
  <c r="AG8" i="52"/>
  <c r="AG9" i="52"/>
  <c r="AG10" i="52"/>
  <c r="AG5" i="52"/>
  <c r="S39" i="52"/>
  <c r="S40" i="52"/>
  <c r="S41" i="52"/>
  <c r="S42" i="52"/>
  <c r="S43" i="52"/>
  <c r="S44" i="52"/>
  <c r="S45" i="52"/>
  <c r="S46" i="52"/>
  <c r="S47" i="52"/>
  <c r="S48" i="52"/>
  <c r="S49" i="52"/>
  <c r="S50" i="52"/>
  <c r="S51" i="52"/>
  <c r="S52" i="52"/>
  <c r="S53" i="52"/>
  <c r="S54" i="52"/>
  <c r="S55" i="52"/>
  <c r="S56" i="52"/>
  <c r="S57" i="52"/>
  <c r="S58" i="52"/>
  <c r="S59" i="52"/>
  <c r="S38" i="52"/>
  <c r="S32" i="52"/>
  <c r="S33" i="52"/>
  <c r="S34" i="52"/>
  <c r="S35" i="52"/>
  <c r="S36" i="52"/>
  <c r="S37" i="52"/>
  <c r="S31" i="52"/>
  <c r="S18" i="52"/>
  <c r="S19" i="52"/>
  <c r="S20" i="52"/>
  <c r="S21" i="52"/>
  <c r="S22" i="52"/>
  <c r="S23" i="52"/>
  <c r="S24" i="52"/>
  <c r="S25" i="52"/>
  <c r="S26" i="52"/>
  <c r="S27" i="52"/>
  <c r="S28" i="52"/>
  <c r="S29" i="52"/>
  <c r="S30" i="52"/>
  <c r="S17" i="52"/>
  <c r="S12" i="52"/>
  <c r="S13" i="52"/>
  <c r="S14" i="52"/>
  <c r="S15" i="52"/>
  <c r="S16" i="52"/>
  <c r="S11" i="52"/>
  <c r="S6" i="52"/>
  <c r="S7" i="52"/>
  <c r="S8" i="52"/>
  <c r="S9" i="52"/>
  <c r="S10" i="52"/>
  <c r="S5" i="52"/>
  <c r="R5" i="52"/>
  <c r="T5" i="52"/>
  <c r="U5" i="52" s="1"/>
  <c r="X5" i="52"/>
  <c r="X56" i="52"/>
  <c r="T56" i="52"/>
  <c r="Y56" i="52" s="1"/>
  <c r="R56" i="52"/>
  <c r="R6" i="52"/>
  <c r="T6" i="52"/>
  <c r="U6" i="52" s="1"/>
  <c r="X6" i="52"/>
  <c r="R7" i="52"/>
  <c r="T7" i="52"/>
  <c r="U7" i="52" s="1"/>
  <c r="X7" i="52"/>
  <c r="R8" i="52"/>
  <c r="T8" i="52"/>
  <c r="U8" i="52" s="1"/>
  <c r="X8" i="52"/>
  <c r="R9" i="52"/>
  <c r="T9" i="52"/>
  <c r="U9" i="52" s="1"/>
  <c r="X9" i="52"/>
  <c r="R10" i="52"/>
  <c r="T10" i="52"/>
  <c r="X10" i="52"/>
  <c r="R11" i="52"/>
  <c r="T11" i="52"/>
  <c r="V11" i="52" s="1"/>
  <c r="X11" i="52"/>
  <c r="R12" i="52"/>
  <c r="T12" i="52"/>
  <c r="U12" i="52" s="1"/>
  <c r="X12" i="52"/>
  <c r="Z12" i="52" s="1"/>
  <c r="R13" i="52"/>
  <c r="T13" i="52"/>
  <c r="X13" i="52"/>
  <c r="R14" i="52"/>
  <c r="T14" i="52"/>
  <c r="U14" i="52" s="1"/>
  <c r="X14" i="52"/>
  <c r="R15" i="52"/>
  <c r="T15" i="52"/>
  <c r="U15" i="52" s="1"/>
  <c r="X15" i="52"/>
  <c r="R16" i="52"/>
  <c r="T16" i="52"/>
  <c r="X16" i="52"/>
  <c r="R17" i="52"/>
  <c r="X17" i="52"/>
  <c r="R18" i="52"/>
  <c r="X18" i="52"/>
  <c r="R19" i="52"/>
  <c r="X19" i="52"/>
  <c r="R20" i="52"/>
  <c r="X20" i="52"/>
  <c r="R21" i="52"/>
  <c r="X21" i="52"/>
  <c r="R22" i="52"/>
  <c r="X22" i="52"/>
  <c r="Z22" i="52" s="1"/>
  <c r="R23" i="52"/>
  <c r="X23" i="52"/>
  <c r="R24" i="52"/>
  <c r="X24" i="52"/>
  <c r="R25" i="52"/>
  <c r="X25" i="52"/>
  <c r="R26" i="52"/>
  <c r="X26" i="52"/>
  <c r="R27" i="52"/>
  <c r="X27" i="52"/>
  <c r="R28" i="52"/>
  <c r="X28" i="52"/>
  <c r="R29" i="52"/>
  <c r="X29" i="52"/>
  <c r="R30" i="52"/>
  <c r="X30" i="52"/>
  <c r="R31" i="52"/>
  <c r="X31" i="52"/>
  <c r="R32" i="52"/>
  <c r="X32" i="52"/>
  <c r="R33" i="52"/>
  <c r="X33" i="52"/>
  <c r="R34" i="52"/>
  <c r="X34" i="52"/>
  <c r="R35" i="52"/>
  <c r="X35" i="52"/>
  <c r="R36" i="52"/>
  <c r="X36" i="52"/>
  <c r="R37" i="52"/>
  <c r="X37" i="52"/>
  <c r="R38" i="52"/>
  <c r="T38" i="52"/>
  <c r="U38" i="52" s="1"/>
  <c r="X38" i="52"/>
  <c r="R39" i="52"/>
  <c r="T39" i="52"/>
  <c r="U39" i="52" s="1"/>
  <c r="X39" i="52"/>
  <c r="R40" i="52"/>
  <c r="T40" i="52"/>
  <c r="U40" i="52" s="1"/>
  <c r="X40" i="52"/>
  <c r="R41" i="52"/>
  <c r="T41" i="52"/>
  <c r="Y41" i="52" s="1"/>
  <c r="AB41" i="52" s="1"/>
  <c r="AE41" i="52" s="1"/>
  <c r="X41" i="52"/>
  <c r="R42" i="52"/>
  <c r="T42" i="52"/>
  <c r="X42" i="52"/>
  <c r="R43" i="52"/>
  <c r="T43" i="52"/>
  <c r="U43" i="52" s="1"/>
  <c r="X43" i="52"/>
  <c r="R44" i="52"/>
  <c r="T44" i="52"/>
  <c r="U44" i="52" s="1"/>
  <c r="X44" i="52"/>
  <c r="R45" i="52"/>
  <c r="T45" i="52"/>
  <c r="X45" i="52"/>
  <c r="R46" i="52"/>
  <c r="T46" i="52"/>
  <c r="U46" i="52" s="1"/>
  <c r="X46" i="52"/>
  <c r="R47" i="52"/>
  <c r="T47" i="52"/>
  <c r="X47" i="52"/>
  <c r="R48" i="52"/>
  <c r="T48" i="52"/>
  <c r="U48" i="52" s="1"/>
  <c r="X48" i="52"/>
  <c r="R49" i="52"/>
  <c r="T49" i="52"/>
  <c r="Y49" i="52" s="1"/>
  <c r="X49" i="52"/>
  <c r="R50" i="52"/>
  <c r="T50" i="52"/>
  <c r="U50" i="52" s="1"/>
  <c r="X50" i="52"/>
  <c r="R51" i="52"/>
  <c r="T51" i="52"/>
  <c r="U51" i="52" s="1"/>
  <c r="X51" i="52"/>
  <c r="R52" i="52"/>
  <c r="T52" i="52"/>
  <c r="U52" i="52" s="1"/>
  <c r="X52" i="52"/>
  <c r="R53" i="52"/>
  <c r="T53" i="52"/>
  <c r="Y53" i="52" s="1"/>
  <c r="X53" i="52"/>
  <c r="R54" i="52"/>
  <c r="T54" i="52"/>
  <c r="U54" i="52" s="1"/>
  <c r="X54" i="52"/>
  <c r="R55" i="52"/>
  <c r="T55" i="52"/>
  <c r="U55" i="52" s="1"/>
  <c r="X55" i="52"/>
  <c r="U56" i="52"/>
  <c r="Z56" i="52"/>
  <c r="R57" i="52"/>
  <c r="T57" i="52"/>
  <c r="U57" i="52" s="1"/>
  <c r="X57" i="52"/>
  <c r="R58" i="52"/>
  <c r="T58" i="52"/>
  <c r="V58" i="52" s="1"/>
  <c r="X58" i="52"/>
  <c r="R59" i="52"/>
  <c r="T59" i="52"/>
  <c r="U59" i="52" s="1"/>
  <c r="X59" i="52"/>
  <c r="X29" i="5"/>
  <c r="N79" i="4"/>
  <c r="N78" i="4"/>
  <c r="X56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7" i="5"/>
  <c r="X58" i="5"/>
  <c r="X59" i="5"/>
  <c r="X5" i="5"/>
  <c r="AN105" i="5"/>
  <c r="AN106" i="5"/>
  <c r="AN107" i="5"/>
  <c r="AN108" i="5"/>
  <c r="AN109" i="5"/>
  <c r="AN110" i="5"/>
  <c r="AN111" i="5"/>
  <c r="AN112" i="5"/>
  <c r="AN113" i="5"/>
  <c r="AN114" i="5"/>
  <c r="AN115" i="5"/>
  <c r="AN116" i="5"/>
  <c r="AN117" i="5"/>
  <c r="AN118" i="5"/>
  <c r="AN119" i="5"/>
  <c r="AG105" i="5"/>
  <c r="AG106" i="5"/>
  <c r="AG107" i="5"/>
  <c r="AG108" i="5"/>
  <c r="AG109" i="5"/>
  <c r="AG110" i="5"/>
  <c r="AG111" i="5"/>
  <c r="AG112" i="5"/>
  <c r="AG113" i="5"/>
  <c r="AG114" i="5"/>
  <c r="AG115" i="5"/>
  <c r="AG116" i="5"/>
  <c r="AG117" i="5"/>
  <c r="AG118" i="5"/>
  <c r="AG119" i="5"/>
  <c r="K79" i="4"/>
  <c r="K78" i="4"/>
  <c r="F79" i="4"/>
  <c r="F78" i="4"/>
  <c r="P51" i="52" s="1"/>
  <c r="AH51" i="52" s="1"/>
  <c r="B79" i="4"/>
  <c r="B78" i="4"/>
  <c r="R61" i="4"/>
  <c r="R60" i="4"/>
  <c r="N61" i="4"/>
  <c r="N60" i="4"/>
  <c r="P34" i="52" s="1"/>
  <c r="AH34" i="52" s="1"/>
  <c r="J61" i="4"/>
  <c r="J60" i="4"/>
  <c r="F61" i="4"/>
  <c r="F60" i="4"/>
  <c r="P26" i="52" s="1"/>
  <c r="AH26" i="52" s="1"/>
  <c r="B61" i="4"/>
  <c r="B60" i="4"/>
  <c r="R43" i="4"/>
  <c r="R42" i="4"/>
  <c r="N43" i="4"/>
  <c r="N42" i="4"/>
  <c r="P55" i="52" s="1"/>
  <c r="AH55" i="52" s="1"/>
  <c r="J43" i="4"/>
  <c r="J42" i="4"/>
  <c r="F43" i="4"/>
  <c r="F42" i="4"/>
  <c r="P21" i="52" s="1"/>
  <c r="AH21" i="52" s="1"/>
  <c r="B42" i="4"/>
  <c r="B43" i="4"/>
  <c r="B23" i="4"/>
  <c r="L20" i="4"/>
  <c r="Q9" i="52" s="1"/>
  <c r="B24" i="4"/>
  <c r="P20" i="52" s="1"/>
  <c r="AH20" i="52" s="1"/>
  <c r="L22" i="4"/>
  <c r="AJ116" i="5" s="1"/>
  <c r="L8" i="4"/>
  <c r="T30" i="52" s="1"/>
  <c r="N23" i="4"/>
  <c r="L23" i="4"/>
  <c r="AH107" i="5" s="1"/>
  <c r="AK107" i="5" s="1"/>
  <c r="L9" i="4"/>
  <c r="T32" i="52" s="1"/>
  <c r="N24" i="4"/>
  <c r="L24" i="4" s="1"/>
  <c r="L21" i="4"/>
  <c r="AB14" i="5" s="1"/>
  <c r="N8" i="4"/>
  <c r="N9" i="4"/>
  <c r="L25" i="4"/>
  <c r="AA49" i="5"/>
  <c r="AA53" i="5"/>
  <c r="AJ114" i="5"/>
  <c r="AH118" i="5"/>
  <c r="AK118" i="5" s="1"/>
  <c r="AH116" i="5"/>
  <c r="AK116" i="5" s="1"/>
  <c r="AH114" i="5"/>
  <c r="AK114" i="5" s="1"/>
  <c r="AJ119" i="5"/>
  <c r="AJ115" i="5"/>
  <c r="AJ113" i="5"/>
  <c r="AH117" i="5"/>
  <c r="AK117" i="5" s="1"/>
  <c r="AH115" i="5"/>
  <c r="AK115" i="5" s="1"/>
  <c r="AH113" i="5"/>
  <c r="AK113" i="5" s="1"/>
  <c r="Z8" i="52"/>
  <c r="P32" i="52"/>
  <c r="AH32" i="52" s="1"/>
  <c r="P31" i="52"/>
  <c r="AH31" i="52" s="1"/>
  <c r="P37" i="52"/>
  <c r="AH37" i="52" s="1"/>
  <c r="Q12" i="52"/>
  <c r="Q16" i="52"/>
  <c r="Q13" i="52"/>
  <c r="Q11" i="52"/>
  <c r="Q15" i="52"/>
  <c r="Q14" i="52"/>
  <c r="T20" i="52"/>
  <c r="Z20" i="52" s="1"/>
  <c r="T24" i="52"/>
  <c r="U24" i="52" s="1"/>
  <c r="T28" i="52"/>
  <c r="V28" i="52" s="1"/>
  <c r="AF28" i="52" s="1"/>
  <c r="T19" i="52"/>
  <c r="T23" i="52"/>
  <c r="V23" i="52" s="1"/>
  <c r="AF23" i="52" s="1"/>
  <c r="T27" i="52"/>
  <c r="V27" i="52" s="1"/>
  <c r="AF27" i="52" s="1"/>
  <c r="T17" i="52"/>
  <c r="Y17" i="52" s="1"/>
  <c r="T25" i="52"/>
  <c r="T22" i="52"/>
  <c r="T21" i="52"/>
  <c r="Y21" i="52" s="1"/>
  <c r="T29" i="52"/>
  <c r="Z29" i="52" s="1"/>
  <c r="T18" i="52"/>
  <c r="Z18" i="52" s="1"/>
  <c r="T26" i="52"/>
  <c r="V41" i="52"/>
  <c r="AF41" i="52" s="1"/>
  <c r="Q56" i="52"/>
  <c r="Q41" i="52"/>
  <c r="Q45" i="52"/>
  <c r="Q49" i="52"/>
  <c r="V56" i="52"/>
  <c r="AF56" i="52" s="1"/>
  <c r="Q58" i="52"/>
  <c r="AB44" i="5"/>
  <c r="AC44" i="5" s="1"/>
  <c r="AB52" i="5"/>
  <c r="V40" i="52"/>
  <c r="W40" i="52" s="1"/>
  <c r="Q44" i="52"/>
  <c r="Q48" i="52"/>
  <c r="Q52" i="52"/>
  <c r="V57" i="52"/>
  <c r="W57" i="52" s="1"/>
  <c r="Q39" i="52"/>
  <c r="V39" i="52"/>
  <c r="Q43" i="52"/>
  <c r="Q47" i="52"/>
  <c r="Q51" i="52"/>
  <c r="Q55" i="52"/>
  <c r="AB49" i="5"/>
  <c r="AM49" i="5" s="1"/>
  <c r="AB53" i="5"/>
  <c r="AC53" i="5" s="1"/>
  <c r="Q38" i="52"/>
  <c r="Q46" i="52"/>
  <c r="Q50" i="52"/>
  <c r="Q54" i="52"/>
  <c r="Q59" i="52"/>
  <c r="AJ105" i="5"/>
  <c r="T33" i="52"/>
  <c r="Z33" i="52" s="1"/>
  <c r="T35" i="52"/>
  <c r="T34" i="52"/>
  <c r="U34" i="52" s="1"/>
  <c r="W34" i="52" s="1"/>
  <c r="T37" i="52"/>
  <c r="Z37" i="52" s="1"/>
  <c r="Q21" i="52"/>
  <c r="Q20" i="52"/>
  <c r="AJ107" i="5"/>
  <c r="Q8" i="52"/>
  <c r="Q7" i="52"/>
  <c r="V7" i="52"/>
  <c r="AF7" i="52" s="1"/>
  <c r="P11" i="52"/>
  <c r="AH11" i="52" s="1"/>
  <c r="P12" i="52"/>
  <c r="AH12" i="52" s="1"/>
  <c r="P23" i="52"/>
  <c r="AH23" i="52" s="1"/>
  <c r="P24" i="52"/>
  <c r="AH24" i="52" s="1"/>
  <c r="P25" i="52"/>
  <c r="AH25" i="52" s="1"/>
  <c r="P29" i="52"/>
  <c r="AH29" i="52" s="1"/>
  <c r="P28" i="52"/>
  <c r="AH28" i="52" s="1"/>
  <c r="P35" i="52"/>
  <c r="AH35" i="52" s="1"/>
  <c r="P36" i="52"/>
  <c r="AH36" i="52" s="1"/>
  <c r="P33" i="52"/>
  <c r="AH33" i="52" s="1"/>
  <c r="P30" i="52"/>
  <c r="AH30" i="52" s="1"/>
  <c r="Z17" i="52"/>
  <c r="P13" i="52"/>
  <c r="AH13" i="52" s="1"/>
  <c r="V59" i="52"/>
  <c r="AF59" i="52" s="1"/>
  <c r="P43" i="52"/>
  <c r="AH43" i="52" s="1"/>
  <c r="P39" i="52"/>
  <c r="AH39" i="52" s="1"/>
  <c r="V38" i="52"/>
  <c r="AF38" i="52" s="1"/>
  <c r="V16" i="52"/>
  <c r="AF16" i="52" s="1"/>
  <c r="V12" i="52"/>
  <c r="AF12" i="52"/>
  <c r="V8" i="52"/>
  <c r="AF8" i="52" s="1"/>
  <c r="P9" i="52"/>
  <c r="AH9" i="52" s="1"/>
  <c r="U13" i="52"/>
  <c r="Y13" i="52"/>
  <c r="AB13" i="52" s="1"/>
  <c r="AE13" i="52" s="1"/>
  <c r="V13" i="52"/>
  <c r="AF13" i="52" s="1"/>
  <c r="Y9" i="52"/>
  <c r="AB9" i="52" s="1"/>
  <c r="AE9" i="52" s="1"/>
  <c r="V9" i="52"/>
  <c r="AF9" i="52" s="1"/>
  <c r="P52" i="52"/>
  <c r="AH52" i="52" s="1"/>
  <c r="P14" i="52"/>
  <c r="AH14" i="52" s="1"/>
  <c r="P53" i="52"/>
  <c r="AH53" i="52" s="1"/>
  <c r="U49" i="52"/>
  <c r="P49" i="52"/>
  <c r="AH49" i="52" s="1"/>
  <c r="U41" i="52"/>
  <c r="P41" i="52"/>
  <c r="AH41" i="52" s="1"/>
  <c r="P27" i="52"/>
  <c r="AH27" i="52" s="1"/>
  <c r="P19" i="52"/>
  <c r="AH19" i="52" s="1"/>
  <c r="P16" i="52"/>
  <c r="AH16" i="52" s="1"/>
  <c r="P8" i="52"/>
  <c r="AH8" i="52" s="1"/>
  <c r="P7" i="52"/>
  <c r="AH7" i="52" s="1"/>
  <c r="Y59" i="52"/>
  <c r="AC59" i="52" s="1"/>
  <c r="P59" i="52"/>
  <c r="AH59" i="52" s="1"/>
  <c r="P54" i="52"/>
  <c r="AH54" i="52" s="1"/>
  <c r="P46" i="52"/>
  <c r="AH46" i="52" s="1"/>
  <c r="Y42" i="52"/>
  <c r="AB42" i="52" s="1"/>
  <c r="AE42" i="52" s="1"/>
  <c r="Y16" i="52"/>
  <c r="AC16" i="52" s="1"/>
  <c r="Z13" i="52"/>
  <c r="Y12" i="52"/>
  <c r="AC12" i="52" s="1"/>
  <c r="Z9" i="52"/>
  <c r="Y8" i="52"/>
  <c r="Y5" i="52"/>
  <c r="Y14" i="52"/>
  <c r="AA14" i="52" s="1"/>
  <c r="AD14" i="52" s="1"/>
  <c r="Y10" i="52"/>
  <c r="AC10" i="52" s="1"/>
  <c r="Y6" i="52"/>
  <c r="AB6" i="52"/>
  <c r="AE6" i="52" s="1"/>
  <c r="Y33" i="52"/>
  <c r="Y18" i="52"/>
  <c r="AA18" i="52" s="1"/>
  <c r="AD18" i="52" s="1"/>
  <c r="Y23" i="52"/>
  <c r="AA23" i="52"/>
  <c r="AD23" i="52" s="1"/>
  <c r="Z34" i="52"/>
  <c r="Y35" i="52"/>
  <c r="AB35" i="52" s="1"/>
  <c r="AE35" i="52" s="1"/>
  <c r="U26" i="52"/>
  <c r="W26" i="52" s="1"/>
  <c r="Y26" i="52"/>
  <c r="Y30" i="52"/>
  <c r="Y24" i="52"/>
  <c r="W24" i="52"/>
  <c r="W13" i="52"/>
  <c r="AF39" i="52"/>
  <c r="W39" i="52"/>
  <c r="AB21" i="52"/>
  <c r="AE21" i="52" s="1"/>
  <c r="V17" i="52"/>
  <c r="AF17" i="52" s="1"/>
  <c r="U17" i="52"/>
  <c r="W17" i="52" s="1"/>
  <c r="Y28" i="52"/>
  <c r="U28" i="52"/>
  <c r="W28" i="52" s="1"/>
  <c r="W16" i="52"/>
  <c r="U29" i="52"/>
  <c r="W29" i="52" s="1"/>
  <c r="Y19" i="52"/>
  <c r="V19" i="52"/>
  <c r="AF19" i="52" s="1"/>
  <c r="U19" i="52"/>
  <c r="W19" i="52" s="1"/>
  <c r="Z19" i="52"/>
  <c r="Y51" i="52"/>
  <c r="Y48" i="52"/>
  <c r="AA48" i="52"/>
  <c r="AD48" i="52" s="1"/>
  <c r="Z39" i="52"/>
  <c r="Y11" i="52"/>
  <c r="AB11" i="52" s="1"/>
  <c r="AE11" i="52" s="1"/>
  <c r="Y39" i="52"/>
  <c r="Z52" i="52"/>
  <c r="Z51" i="52"/>
  <c r="Z49" i="52"/>
  <c r="Z48" i="52"/>
  <c r="Z42" i="52"/>
  <c r="Z15" i="52"/>
  <c r="Z14" i="52"/>
  <c r="Y47" i="52"/>
  <c r="AA47" i="52" s="1"/>
  <c r="AD47" i="52" s="1"/>
  <c r="U42" i="52"/>
  <c r="U16" i="52"/>
  <c r="U10" i="52"/>
  <c r="W12" i="52"/>
  <c r="Y43" i="52"/>
  <c r="AC43" i="52" s="1"/>
  <c r="Z11" i="52"/>
  <c r="AA47" i="5"/>
  <c r="Z57" i="52"/>
  <c r="Z55" i="52"/>
  <c r="Z53" i="52"/>
  <c r="Z40" i="52"/>
  <c r="Y40" i="52"/>
  <c r="AB40" i="52" s="1"/>
  <c r="AE40" i="52" s="1"/>
  <c r="Z6" i="52"/>
  <c r="Y57" i="52"/>
  <c r="AA57" i="52" s="1"/>
  <c r="AD57" i="52" s="1"/>
  <c r="Z54" i="52"/>
  <c r="Z44" i="52"/>
  <c r="Z41" i="52"/>
  <c r="AB38" i="5"/>
  <c r="AC38" i="5" s="1"/>
  <c r="AB51" i="5"/>
  <c r="AM51" i="5" s="1"/>
  <c r="AC6" i="52"/>
  <c r="AC14" i="52"/>
  <c r="AA59" i="52"/>
  <c r="AD59" i="52"/>
  <c r="U47" i="52"/>
  <c r="AB8" i="52"/>
  <c r="AE8" i="52" s="1"/>
  <c r="Z59" i="52"/>
  <c r="Z45" i="52"/>
  <c r="Z16" i="52"/>
  <c r="Z10" i="52"/>
  <c r="Z50" i="52"/>
  <c r="AB48" i="52"/>
  <c r="AE48" i="52"/>
  <c r="AC49" i="5"/>
  <c r="AB54" i="5"/>
  <c r="AA52" i="5"/>
  <c r="AA54" i="5"/>
  <c r="AA42" i="5"/>
  <c r="AB50" i="5"/>
  <c r="AA46" i="5"/>
  <c r="Z58" i="52"/>
  <c r="Z43" i="52"/>
  <c r="AC23" i="52"/>
  <c r="AM53" i="5"/>
  <c r="W56" i="52"/>
  <c r="W8" i="52"/>
  <c r="U23" i="52"/>
  <c r="W23" i="52"/>
  <c r="Y22" i="52"/>
  <c r="AF40" i="52"/>
  <c r="Y38" i="52"/>
  <c r="AC38" i="52" s="1"/>
  <c r="Y46" i="52"/>
  <c r="AB46" i="52" s="1"/>
  <c r="Y54" i="52"/>
  <c r="AC54" i="52" s="1"/>
  <c r="V54" i="52"/>
  <c r="Z28" i="52"/>
  <c r="Z38" i="52"/>
  <c r="AB59" i="52"/>
  <c r="AE59" i="52"/>
  <c r="V32" i="52"/>
  <c r="AF32" i="52" s="1"/>
  <c r="V20" i="52"/>
  <c r="AF20" i="52" s="1"/>
  <c r="Z23" i="52"/>
  <c r="U22" i="52"/>
  <c r="W22" i="52" s="1"/>
  <c r="U18" i="52"/>
  <c r="W18" i="52" s="1"/>
  <c r="V46" i="52"/>
  <c r="AF46" i="52" s="1"/>
  <c r="Z46" i="52"/>
  <c r="Y15" i="52"/>
  <c r="Z5" i="52"/>
  <c r="AC13" i="52"/>
  <c r="Y20" i="52"/>
  <c r="V18" i="52"/>
  <c r="AF18" i="52" s="1"/>
  <c r="V50" i="52"/>
  <c r="AF50" i="52" s="1"/>
  <c r="Z26" i="52"/>
  <c r="Z24" i="52"/>
  <c r="AC51" i="52"/>
  <c r="AA11" i="52"/>
  <c r="AD11" i="52"/>
  <c r="Z47" i="52"/>
  <c r="AA42" i="52"/>
  <c r="AD42" i="52"/>
  <c r="AB57" i="52"/>
  <c r="AE57" i="52" s="1"/>
  <c r="Y7" i="52"/>
  <c r="AC47" i="52"/>
  <c r="Z7" i="52"/>
  <c r="AA56" i="52"/>
  <c r="AD56" i="52"/>
  <c r="Y55" i="52"/>
  <c r="AA46" i="52"/>
  <c r="AD46" i="52" s="1"/>
  <c r="AC46" i="52"/>
  <c r="AE46" i="52"/>
  <c r="AB15" i="52"/>
  <c r="AE15" i="52" s="1"/>
  <c r="W50" i="52"/>
  <c r="W46" i="52"/>
  <c r="AA38" i="52"/>
  <c r="AD38" i="52" s="1"/>
  <c r="AB38" i="52"/>
  <c r="AE38" i="52" s="1"/>
  <c r="V11" i="5"/>
  <c r="V12" i="5"/>
  <c r="V13" i="5"/>
  <c r="V14" i="5"/>
  <c r="V15" i="5"/>
  <c r="V16" i="5"/>
  <c r="Z31" i="5"/>
  <c r="AA31" i="5" s="1"/>
  <c r="AC31" i="5" s="1"/>
  <c r="Z32" i="5"/>
  <c r="AE32" i="5" s="1"/>
  <c r="Z33" i="5"/>
  <c r="Z34" i="5"/>
  <c r="AE34" i="5" s="1"/>
  <c r="Z35" i="5"/>
  <c r="Z36" i="5"/>
  <c r="Z37" i="5"/>
  <c r="Z17" i="5"/>
  <c r="AB17" i="5" s="1"/>
  <c r="AM17" i="5" s="1"/>
  <c r="Z18" i="5"/>
  <c r="AB18" i="5" s="1"/>
  <c r="AM18" i="5" s="1"/>
  <c r="Z19" i="5"/>
  <c r="AE19" i="5"/>
  <c r="Z20" i="5"/>
  <c r="AA20" i="5"/>
  <c r="AC20" i="5" s="1"/>
  <c r="Z21" i="5"/>
  <c r="AB21" i="5" s="1"/>
  <c r="AM21" i="5" s="1"/>
  <c r="Z22" i="5"/>
  <c r="AA22" i="5" s="1"/>
  <c r="AC22" i="5" s="1"/>
  <c r="Z23" i="5"/>
  <c r="AE23" i="5" s="1"/>
  <c r="Z24" i="5"/>
  <c r="AA24" i="5" s="1"/>
  <c r="AC24" i="5"/>
  <c r="Z25" i="5"/>
  <c r="AB25" i="5" s="1"/>
  <c r="AM25" i="5" s="1"/>
  <c r="Z26" i="5"/>
  <c r="Z27" i="5"/>
  <c r="AE27" i="5"/>
  <c r="Z28" i="5"/>
  <c r="AB28" i="5"/>
  <c r="AM28" i="5" s="1"/>
  <c r="Z29" i="5"/>
  <c r="Z30" i="5"/>
  <c r="AB30" i="5"/>
  <c r="AM30" i="5" s="1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AR30" i="5" s="1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AR54" i="5" s="1"/>
  <c r="AS54" i="5" s="1"/>
  <c r="V55" i="5"/>
  <c r="V56" i="5"/>
  <c r="V57" i="5"/>
  <c r="V58" i="5"/>
  <c r="V59" i="5"/>
  <c r="V6" i="5"/>
  <c r="V7" i="5"/>
  <c r="V8" i="5"/>
  <c r="V10" i="5"/>
  <c r="V5" i="5"/>
  <c r="S6" i="5"/>
  <c r="AN6" i="5" s="1"/>
  <c r="U6" i="5"/>
  <c r="S7" i="5"/>
  <c r="U7" i="5"/>
  <c r="S9" i="5"/>
  <c r="AN9" i="5" s="1"/>
  <c r="U9" i="5"/>
  <c r="S10" i="5"/>
  <c r="AN10" i="5" s="1"/>
  <c r="U10" i="5"/>
  <c r="S18" i="5"/>
  <c r="AN18" i="5" s="1"/>
  <c r="U18" i="5"/>
  <c r="S20" i="5"/>
  <c r="AN20" i="5" s="1"/>
  <c r="U20" i="5"/>
  <c r="S5" i="5"/>
  <c r="AN5" i="5" s="1"/>
  <c r="U5" i="5"/>
  <c r="S11" i="5"/>
  <c r="AN11" i="5" s="1"/>
  <c r="U11" i="5"/>
  <c r="S12" i="5"/>
  <c r="U12" i="5"/>
  <c r="U14" i="5"/>
  <c r="S15" i="5"/>
  <c r="AN15" i="5" s="1"/>
  <c r="U15" i="5"/>
  <c r="S16" i="5"/>
  <c r="AN16" i="5" s="1"/>
  <c r="S17" i="5"/>
  <c r="AN17" i="5"/>
  <c r="U17" i="5"/>
  <c r="S19" i="5"/>
  <c r="AN19" i="5" s="1"/>
  <c r="U19" i="5"/>
  <c r="U21" i="5"/>
  <c r="S22" i="5"/>
  <c r="U22" i="5"/>
  <c r="S27" i="5"/>
  <c r="U27" i="5"/>
  <c r="S31" i="5"/>
  <c r="U31" i="5"/>
  <c r="S32" i="5"/>
  <c r="U32" i="5"/>
  <c r="S37" i="5"/>
  <c r="AN37" i="5"/>
  <c r="U37" i="5"/>
  <c r="S38" i="5"/>
  <c r="AN38" i="5" s="1"/>
  <c r="U38" i="5"/>
  <c r="S39" i="5"/>
  <c r="AN39" i="5" s="1"/>
  <c r="U39" i="5"/>
  <c r="S40" i="5"/>
  <c r="AN40" i="5" s="1"/>
  <c r="U40" i="5"/>
  <c r="S41" i="5"/>
  <c r="AN41" i="5"/>
  <c r="U41" i="5"/>
  <c r="S48" i="5"/>
  <c r="AN48" i="5" s="1"/>
  <c r="U48" i="5"/>
  <c r="S49" i="5"/>
  <c r="U49" i="5"/>
  <c r="S50" i="5"/>
  <c r="AN50" i="5" s="1"/>
  <c r="U50" i="5"/>
  <c r="S55" i="5"/>
  <c r="U55" i="5"/>
  <c r="S56" i="5"/>
  <c r="AN56" i="5"/>
  <c r="U56" i="5"/>
  <c r="S57" i="5"/>
  <c r="U57" i="5"/>
  <c r="S59" i="5"/>
  <c r="AN59" i="5" s="1"/>
  <c r="U59" i="5"/>
  <c r="S25" i="5"/>
  <c r="U25" i="5"/>
  <c r="S26" i="5"/>
  <c r="U26" i="5"/>
  <c r="S28" i="5"/>
  <c r="U28" i="5"/>
  <c r="S29" i="5"/>
  <c r="U29" i="5"/>
  <c r="S33" i="5"/>
  <c r="U33" i="5"/>
  <c r="S34" i="5"/>
  <c r="U34" i="5"/>
  <c r="S35" i="5"/>
  <c r="U35" i="5"/>
  <c r="S36" i="5"/>
  <c r="U36" i="5"/>
  <c r="S8" i="5"/>
  <c r="AN8" i="5"/>
  <c r="U8" i="5"/>
  <c r="S30" i="5"/>
  <c r="AN30" i="5" s="1"/>
  <c r="U30" i="5"/>
  <c r="S42" i="5"/>
  <c r="AN42" i="5" s="1"/>
  <c r="U42" i="5"/>
  <c r="S43" i="5"/>
  <c r="U43" i="5"/>
  <c r="S44" i="5"/>
  <c r="U44" i="5"/>
  <c r="S45" i="5"/>
  <c r="U45" i="5"/>
  <c r="S46" i="5"/>
  <c r="U46" i="5"/>
  <c r="S47" i="5"/>
  <c r="AN47" i="5" s="1"/>
  <c r="U47" i="5"/>
  <c r="S51" i="5"/>
  <c r="AN51" i="5" s="1"/>
  <c r="U51" i="5"/>
  <c r="S52" i="5"/>
  <c r="AN52" i="5" s="1"/>
  <c r="U52" i="5"/>
  <c r="S53" i="5"/>
  <c r="AN53" i="5"/>
  <c r="U53" i="5"/>
  <c r="S54" i="5"/>
  <c r="AV54" i="5" s="1"/>
  <c r="U54" i="5"/>
  <c r="S58" i="5"/>
  <c r="U58" i="5"/>
  <c r="S23" i="5"/>
  <c r="U23" i="5"/>
  <c r="S24" i="5"/>
  <c r="AN24" i="5" s="1"/>
  <c r="U24" i="5"/>
  <c r="S13" i="5"/>
  <c r="U13" i="5"/>
  <c r="V42" i="52"/>
  <c r="AF42" i="52" s="1"/>
  <c r="AN49" i="5"/>
  <c r="AN31" i="5"/>
  <c r="AA29" i="5"/>
  <c r="AC29" i="5" s="1"/>
  <c r="AA28" i="5"/>
  <c r="AC28" i="5" s="1"/>
  <c r="AB27" i="5"/>
  <c r="AM27" i="5" s="1"/>
  <c r="AE26" i="5"/>
  <c r="AI26" i="5" s="1"/>
  <c r="AL26" i="5" s="1"/>
  <c r="AE25" i="5"/>
  <c r="AB23" i="5"/>
  <c r="AM23" i="5" s="1"/>
  <c r="AA21" i="5"/>
  <c r="AC21" i="5" s="1"/>
  <c r="AB20" i="5"/>
  <c r="AM20" i="5" s="1"/>
  <c r="AA19" i="5"/>
  <c r="AC19" i="5" s="1"/>
  <c r="AA37" i="5"/>
  <c r="AC37" i="5" s="1"/>
  <c r="AA36" i="5"/>
  <c r="AC36" i="5" s="1"/>
  <c r="AN12" i="5"/>
  <c r="AC41" i="52"/>
  <c r="AH51" i="5"/>
  <c r="AK51" i="5" s="1"/>
  <c r="AI51" i="5"/>
  <c r="AL51" i="5"/>
  <c r="AG51" i="5"/>
  <c r="AQ53" i="5"/>
  <c r="AH53" i="5"/>
  <c r="AK53" i="5" s="1"/>
  <c r="AI53" i="5"/>
  <c r="AL53" i="5"/>
  <c r="AJ53" i="5"/>
  <c r="AI13" i="5"/>
  <c r="AL13" i="5" s="1"/>
  <c r="AF57" i="5"/>
  <c r="AF53" i="5"/>
  <c r="AF51" i="5"/>
  <c r="AG52" i="5"/>
  <c r="AH52" i="5"/>
  <c r="AK52" i="5" s="1"/>
  <c r="AF52" i="5"/>
  <c r="AI52" i="5"/>
  <c r="AL52" i="5" s="1"/>
  <c r="AJ52" i="5"/>
  <c r="AF48" i="5"/>
  <c r="AI46" i="5"/>
  <c r="AL46" i="5"/>
  <c r="AJ46" i="5"/>
  <c r="AH38" i="5"/>
  <c r="AK38" i="5" s="1"/>
  <c r="AN28" i="5"/>
  <c r="AN35" i="5"/>
  <c r="AN43" i="5"/>
  <c r="AN44" i="5"/>
  <c r="AN54" i="5"/>
  <c r="AA53" i="52"/>
  <c r="AD53" i="52" s="1"/>
  <c r="AB53" i="52"/>
  <c r="AE53" i="52"/>
  <c r="AC53" i="52"/>
  <c r="AA49" i="52"/>
  <c r="AD49" i="52" s="1"/>
  <c r="AB49" i="52"/>
  <c r="AE49" i="52" s="1"/>
  <c r="AC49" i="52"/>
  <c r="AE36" i="5"/>
  <c r="AE21" i="5"/>
  <c r="AG21" i="5" s="1"/>
  <c r="AE29" i="5"/>
  <c r="AH29" i="5" s="1"/>
  <c r="AK29" i="5" s="1"/>
  <c r="AA16" i="52"/>
  <c r="AD16" i="52" s="1"/>
  <c r="AC57" i="52"/>
  <c r="AB47" i="52"/>
  <c r="AE47" i="52" s="1"/>
  <c r="AC33" i="52"/>
  <c r="AC21" i="52"/>
  <c r="AA30" i="52"/>
  <c r="AD30" i="52" s="1"/>
  <c r="AA21" i="52"/>
  <c r="AD21" i="52" s="1"/>
  <c r="AA33" i="52"/>
  <c r="AD33" i="52" s="1"/>
  <c r="AB14" i="52"/>
  <c r="AE14" i="52" s="1"/>
  <c r="AC48" i="52"/>
  <c r="AC8" i="52"/>
  <c r="AE37" i="5"/>
  <c r="AI37" i="5" s="1"/>
  <c r="AL37" i="5" s="1"/>
  <c r="AE24" i="5"/>
  <c r="AJ24" i="5" s="1"/>
  <c r="AA30" i="5"/>
  <c r="AC30" i="5" s="1"/>
  <c r="AA51" i="5"/>
  <c r="AG53" i="5"/>
  <c r="AQ51" i="5"/>
  <c r="AG49" i="5"/>
  <c r="AG47" i="5"/>
  <c r="AI47" i="5"/>
  <c r="AL47" i="5" s="1"/>
  <c r="AR52" i="5"/>
  <c r="AS52" i="5" s="1"/>
  <c r="AU52" i="5" s="1"/>
  <c r="AF38" i="5"/>
  <c r="AF46" i="5"/>
  <c r="AI54" i="5"/>
  <c r="AL54" i="5" s="1"/>
  <c r="AI57" i="5"/>
  <c r="AL57" i="5" s="1"/>
  <c r="AQ38" i="5"/>
  <c r="AE20" i="5"/>
  <c r="AQ20" i="5"/>
  <c r="AE22" i="5"/>
  <c r="AR22" i="5" s="1"/>
  <c r="AB24" i="5"/>
  <c r="AM24" i="5"/>
  <c r="AA26" i="5"/>
  <c r="AC26" i="5"/>
  <c r="AE28" i="5"/>
  <c r="AI28" i="5" s="1"/>
  <c r="AL28" i="5" s="1"/>
  <c r="AE30" i="5"/>
  <c r="AH30" i="5"/>
  <c r="AK30" i="5" s="1"/>
  <c r="AR57" i="5"/>
  <c r="AS57" i="5" s="1"/>
  <c r="AR51" i="5"/>
  <c r="AS51" i="5"/>
  <c r="AC51" i="5"/>
  <c r="AM44" i="5"/>
  <c r="AB46" i="5"/>
  <c r="AB43" i="5"/>
  <c r="AM43" i="5" s="1"/>
  <c r="AB47" i="5"/>
  <c r="AM47" i="5" s="1"/>
  <c r="AB59" i="5"/>
  <c r="AC59" i="5" s="1"/>
  <c r="AQ48" i="5"/>
  <c r="AQ46" i="5"/>
  <c r="AH59" i="5"/>
  <c r="AK59" i="5"/>
  <c r="AF59" i="5"/>
  <c r="AI59" i="5"/>
  <c r="AL59" i="5" s="1"/>
  <c r="AJ59" i="5"/>
  <c r="AJ43" i="5"/>
  <c r="AH43" i="5"/>
  <c r="AK43" i="5" s="1"/>
  <c r="AF43" i="5"/>
  <c r="AM14" i="5"/>
  <c r="AC14" i="5"/>
  <c r="AH27" i="5"/>
  <c r="AK27" i="5" s="1"/>
  <c r="AI27" i="5"/>
  <c r="AL27" i="5"/>
  <c r="AJ27" i="5"/>
  <c r="AF27" i="5"/>
  <c r="AH23" i="5"/>
  <c r="AK23" i="5" s="1"/>
  <c r="AJ23" i="5"/>
  <c r="AI23" i="5"/>
  <c r="AL23" i="5" s="1"/>
  <c r="AF23" i="5"/>
  <c r="AH19" i="5"/>
  <c r="AK19" i="5" s="1"/>
  <c r="AJ19" i="5"/>
  <c r="AF19" i="5"/>
  <c r="AI19" i="5"/>
  <c r="AL19" i="5" s="1"/>
  <c r="AG19" i="5"/>
  <c r="AH32" i="5"/>
  <c r="AK32" i="5" s="1"/>
  <c r="AQ32" i="5"/>
  <c r="AF32" i="5"/>
  <c r="AG32" i="5"/>
  <c r="AI32" i="5"/>
  <c r="AL32" i="5"/>
  <c r="AJ32" i="5"/>
  <c r="AQ49" i="5"/>
  <c r="AF49" i="5"/>
  <c r="AJ49" i="5"/>
  <c r="AR27" i="5"/>
  <c r="AS27" i="5" s="1"/>
  <c r="AR25" i="5"/>
  <c r="AS25" i="5" s="1"/>
  <c r="AU25" i="5" s="1"/>
  <c r="AR19" i="5"/>
  <c r="AS19" i="5" s="1"/>
  <c r="AG46" i="5"/>
  <c r="AJ48" i="5"/>
  <c r="AH54" i="5"/>
  <c r="AK54" i="5"/>
  <c r="AG54" i="5"/>
  <c r="AH13" i="5"/>
  <c r="AK13" i="5" s="1"/>
  <c r="AS30" i="5"/>
  <c r="AU30" i="5" s="1"/>
  <c r="AQ54" i="5"/>
  <c r="AG27" i="5"/>
  <c r="AA32" i="5"/>
  <c r="AC32" i="5" s="1"/>
  <c r="AB34" i="5"/>
  <c r="AM34" i="5" s="1"/>
  <c r="AB19" i="5"/>
  <c r="AM19" i="5" s="1"/>
  <c r="AA23" i="5"/>
  <c r="AC23" i="5"/>
  <c r="AA27" i="5"/>
  <c r="AC27" i="5" s="1"/>
  <c r="AR48" i="5"/>
  <c r="AS48" i="5" s="1"/>
  <c r="AM38" i="5"/>
  <c r="AA48" i="5"/>
  <c r="AA13" i="5"/>
  <c r="AA59" i="5"/>
  <c r="AA43" i="5"/>
  <c r="AF36" i="5"/>
  <c r="AQ26" i="5"/>
  <c r="AG26" i="5"/>
  <c r="AH26" i="5"/>
  <c r="AK26" i="5" s="1"/>
  <c r="AQ30" i="5"/>
  <c r="AJ30" i="5"/>
  <c r="AN36" i="5"/>
  <c r="AN34" i="5"/>
  <c r="AN57" i="5"/>
  <c r="AN7" i="5"/>
  <c r="AM54" i="5"/>
  <c r="AC54" i="5"/>
  <c r="AC43" i="5"/>
  <c r="AC52" i="5"/>
  <c r="AM52" i="5"/>
  <c r="AE58" i="5"/>
  <c r="AG58" i="5" s="1"/>
  <c r="AB58" i="5"/>
  <c r="AC58" i="5"/>
  <c r="AQ57" i="5"/>
  <c r="AG57" i="5"/>
  <c r="AE56" i="5"/>
  <c r="AI56" i="5" s="1"/>
  <c r="AL56" i="5" s="1"/>
  <c r="AA56" i="5"/>
  <c r="AB56" i="5"/>
  <c r="AE55" i="5"/>
  <c r="AR55" i="5"/>
  <c r="AA55" i="5"/>
  <c r="AB55" i="5"/>
  <c r="AJ47" i="5"/>
  <c r="AE42" i="5"/>
  <c r="AB42" i="5"/>
  <c r="AE41" i="5"/>
  <c r="AQ41" i="5" s="1"/>
  <c r="AA41" i="5"/>
  <c r="AE40" i="5"/>
  <c r="AA40" i="5"/>
  <c r="AE39" i="5"/>
  <c r="AI39" i="5" s="1"/>
  <c r="AL39" i="5" s="1"/>
  <c r="AF39" i="5"/>
  <c r="AA39" i="5"/>
  <c r="AB39" i="5"/>
  <c r="AG23" i="5"/>
  <c r="AR23" i="5"/>
  <c r="AS23" i="5" s="1"/>
  <c r="AE16" i="5"/>
  <c r="AQ16" i="5"/>
  <c r="AB16" i="5"/>
  <c r="AC16" i="5" s="1"/>
  <c r="AE15" i="5"/>
  <c r="AA15" i="5"/>
  <c r="AB15" i="5"/>
  <c r="AE14" i="5"/>
  <c r="AR14" i="5" s="1"/>
  <c r="AA14" i="5"/>
  <c r="AE12" i="5"/>
  <c r="AB12" i="5"/>
  <c r="AE11" i="5"/>
  <c r="AA11" i="5"/>
  <c r="AB11" i="5"/>
  <c r="AC11" i="5" s="1"/>
  <c r="AE10" i="5"/>
  <c r="AQ10" i="5" s="1"/>
  <c r="AB10" i="5"/>
  <c r="AC10" i="5" s="1"/>
  <c r="AE9" i="5"/>
  <c r="AB9" i="5"/>
  <c r="AE8" i="5"/>
  <c r="AI8" i="5" s="1"/>
  <c r="AL8" i="5" s="1"/>
  <c r="AA8" i="5"/>
  <c r="AB8" i="5"/>
  <c r="AM8" i="5" s="1"/>
  <c r="AE7" i="5"/>
  <c r="AA7" i="5"/>
  <c r="AB7" i="5"/>
  <c r="AM7" i="5" s="1"/>
  <c r="AE6" i="5"/>
  <c r="AB6" i="5"/>
  <c r="AC6" i="5" s="1"/>
  <c r="AA6" i="5"/>
  <c r="AG20" i="5"/>
  <c r="AF24" i="5"/>
  <c r="AQ28" i="5"/>
  <c r="AN45" i="5"/>
  <c r="AN27" i="5"/>
  <c r="AR49" i="5"/>
  <c r="AS49" i="5" s="1"/>
  <c r="AR32" i="5"/>
  <c r="AS32" i="5" s="1"/>
  <c r="AE35" i="5"/>
  <c r="AQ35" i="5" s="1"/>
  <c r="AA35" i="5"/>
  <c r="AC35" i="5" s="1"/>
  <c r="AE33" i="5"/>
  <c r="AG33" i="5" s="1"/>
  <c r="AA33" i="5"/>
  <c r="AC33" i="5" s="1"/>
  <c r="AE31" i="5"/>
  <c r="AF31" i="5" s="1"/>
  <c r="AB31" i="5"/>
  <c r="AM31" i="5"/>
  <c r="AE5" i="5"/>
  <c r="AA5" i="5"/>
  <c r="AQ59" i="5"/>
  <c r="AG59" i="5"/>
  <c r="AR59" i="5"/>
  <c r="AX59" i="5" s="1"/>
  <c r="AY59" i="5" s="1"/>
  <c r="AZ59" i="5" s="1"/>
  <c r="AS59" i="5"/>
  <c r="AU59" i="5" s="1"/>
  <c r="AE50" i="5"/>
  <c r="AR50" i="5" s="1"/>
  <c r="AA50" i="5"/>
  <c r="AI49" i="5"/>
  <c r="AL49" i="5"/>
  <c r="AH49" i="5"/>
  <c r="AK49" i="5"/>
  <c r="AE45" i="5"/>
  <c r="AR45" i="5"/>
  <c r="AA45" i="5"/>
  <c r="AB45" i="5"/>
  <c r="AE44" i="5"/>
  <c r="AA44" i="5"/>
  <c r="AQ43" i="5"/>
  <c r="AG43" i="5"/>
  <c r="AI43" i="5"/>
  <c r="AL43" i="5"/>
  <c r="AR43" i="5"/>
  <c r="AS43" i="5"/>
  <c r="AU43" i="5" s="1"/>
  <c r="AN23" i="5"/>
  <c r="AN33" i="5"/>
  <c r="AN25" i="5"/>
  <c r="AI38" i="5"/>
  <c r="AL38" i="5" s="1"/>
  <c r="AG38" i="5"/>
  <c r="AH48" i="5"/>
  <c r="AK48" i="5" s="1"/>
  <c r="AI48" i="5"/>
  <c r="AL48" i="5" s="1"/>
  <c r="AG48" i="5"/>
  <c r="AJ54" i="5"/>
  <c r="AN13" i="5"/>
  <c r="AF47" i="5"/>
  <c r="AI36" i="5"/>
  <c r="AL36" i="5" s="1"/>
  <c r="AJ13" i="5"/>
  <c r="AJ57" i="5"/>
  <c r="AR26" i="5"/>
  <c r="AS26" i="5" s="1"/>
  <c r="AN29" i="5"/>
  <c r="AN58" i="5"/>
  <c r="AF26" i="5"/>
  <c r="AR38" i="5"/>
  <c r="AB40" i="5"/>
  <c r="AC40" i="5" s="1"/>
  <c r="AB48" i="5"/>
  <c r="AM48" i="5" s="1"/>
  <c r="AA10" i="5"/>
  <c r="AB57" i="5"/>
  <c r="AM57" i="5" s="1"/>
  <c r="AB13" i="5"/>
  <c r="AM13" i="5" s="1"/>
  <c r="AA57" i="5"/>
  <c r="AA12" i="5"/>
  <c r="AA9" i="5"/>
  <c r="BG55" i="5"/>
  <c r="AA58" i="5"/>
  <c r="AQ52" i="5"/>
  <c r="AQ19" i="5"/>
  <c r="AQ23" i="5"/>
  <c r="AQ27" i="5"/>
  <c r="AQ29" i="5"/>
  <c r="AT48" i="5"/>
  <c r="AR5" i="5"/>
  <c r="AR7" i="5"/>
  <c r="AS7" i="5"/>
  <c r="AU7" i="5" s="1"/>
  <c r="AR53" i="5"/>
  <c r="AR47" i="5"/>
  <c r="AX47" i="5" s="1"/>
  <c r="AY47" i="5" s="1"/>
  <c r="AZ47" i="5" s="1"/>
  <c r="AR16" i="5"/>
  <c r="AR46" i="5"/>
  <c r="AS46" i="5" s="1"/>
  <c r="AX51" i="5"/>
  <c r="AT51" i="5"/>
  <c r="AG28" i="5"/>
  <c r="AJ26" i="5"/>
  <c r="AH24" i="5"/>
  <c r="AK24" i="5"/>
  <c r="AI22" i="5"/>
  <c r="AL22" i="5" s="1"/>
  <c r="AH22" i="5"/>
  <c r="AK22" i="5" s="1"/>
  <c r="AJ20" i="5"/>
  <c r="AH35" i="5"/>
  <c r="AK35" i="5" s="1"/>
  <c r="AX25" i="5"/>
  <c r="AX57" i="5"/>
  <c r="AT32" i="5"/>
  <c r="AT23" i="5"/>
  <c r="AN46" i="5"/>
  <c r="AR56" i="5"/>
  <c r="AS56" i="5" s="1"/>
  <c r="AQ55" i="5"/>
  <c r="AI55" i="5"/>
  <c r="AL55" i="5" s="1"/>
  <c r="AG55" i="5"/>
  <c r="AQ50" i="5"/>
  <c r="AQ40" i="5"/>
  <c r="AQ39" i="5"/>
  <c r="AH39" i="5"/>
  <c r="AK39" i="5" s="1"/>
  <c r="AG39" i="5"/>
  <c r="AQ15" i="5"/>
  <c r="AQ13" i="5"/>
  <c r="AR13" i="5"/>
  <c r="AS13" i="5" s="1"/>
  <c r="AQ12" i="5"/>
  <c r="AX43" i="5"/>
  <c r="AT56" i="5"/>
  <c r="AN26" i="5"/>
  <c r="AN55" i="5"/>
  <c r="AN32" i="5"/>
  <c r="AC48" i="5"/>
  <c r="AT59" i="5"/>
  <c r="AT47" i="5"/>
  <c r="AT43" i="5"/>
  <c r="AX48" i="5"/>
  <c r="AX30" i="5"/>
  <c r="AY30" i="5" s="1"/>
  <c r="AZ30" i="5" s="1"/>
  <c r="AF21" i="5"/>
  <c r="AR21" i="5"/>
  <c r="AV25" i="5"/>
  <c r="AV52" i="5"/>
  <c r="AJ37" i="5"/>
  <c r="AF37" i="5"/>
  <c r="AT57" i="5"/>
  <c r="AT27" i="5"/>
  <c r="AY27" i="5" s="1"/>
  <c r="AZ27" i="5" s="1"/>
  <c r="AX27" i="5"/>
  <c r="AT30" i="5"/>
  <c r="AJ39" i="5"/>
  <c r="AX46" i="5"/>
  <c r="AH20" i="5"/>
  <c r="AK20" i="5" s="1"/>
  <c r="AG24" i="5"/>
  <c r="AH28" i="5"/>
  <c r="AK28" i="5" s="1"/>
  <c r="AT52" i="5"/>
  <c r="AR39" i="5"/>
  <c r="AX39" i="5" s="1"/>
  <c r="AR20" i="5"/>
  <c r="AI24" i="5"/>
  <c r="AL24" i="5" s="1"/>
  <c r="AQ24" i="5"/>
  <c r="AQ37" i="5"/>
  <c r="AG37" i="5"/>
  <c r="AR37" i="5"/>
  <c r="AS37" i="5" s="1"/>
  <c r="AU37" i="5" s="1"/>
  <c r="AS45" i="5"/>
  <c r="AT45" i="5"/>
  <c r="AM59" i="5"/>
  <c r="AF20" i="5"/>
  <c r="AI20" i="5"/>
  <c r="AL20" i="5" s="1"/>
  <c r="AC46" i="5"/>
  <c r="AM46" i="5"/>
  <c r="AT46" i="5"/>
  <c r="AY46" i="5" s="1"/>
  <c r="AZ46" i="5" s="1"/>
  <c r="AT7" i="5"/>
  <c r="AX20" i="5"/>
  <c r="AX26" i="5"/>
  <c r="AM58" i="5"/>
  <c r="AX19" i="5"/>
  <c r="AQ14" i="5"/>
  <c r="AH55" i="5"/>
  <c r="AK55" i="5"/>
  <c r="AJ55" i="5"/>
  <c r="AX23" i="5"/>
  <c r="AY23" i="5" s="1"/>
  <c r="AZ23" i="5" s="1"/>
  <c r="AT26" i="5"/>
  <c r="AX49" i="5"/>
  <c r="AS55" i="5"/>
  <c r="AU55" i="5" s="1"/>
  <c r="AX55" i="5"/>
  <c r="AY55" i="5" s="1"/>
  <c r="AZ55" i="5" s="1"/>
  <c r="AT55" i="5"/>
  <c r="AC57" i="5"/>
  <c r="AC45" i="5"/>
  <c r="AM45" i="5"/>
  <c r="AQ45" i="5"/>
  <c r="AH45" i="5"/>
  <c r="AK45" i="5" s="1"/>
  <c r="AI45" i="5"/>
  <c r="AL45" i="5"/>
  <c r="AJ45" i="5"/>
  <c r="AF45" i="5"/>
  <c r="AH5" i="5"/>
  <c r="AK5" i="5" s="1"/>
  <c r="AQ5" i="5"/>
  <c r="AJ5" i="5"/>
  <c r="AI5" i="5"/>
  <c r="AL5" i="5" s="1"/>
  <c r="AF5" i="5"/>
  <c r="AG5" i="5"/>
  <c r="AR31" i="5"/>
  <c r="AS31" i="5" s="1"/>
  <c r="AQ31" i="5"/>
  <c r="AJ31" i="5"/>
  <c r="AH31" i="5"/>
  <c r="AK31" i="5" s="1"/>
  <c r="AI31" i="5"/>
  <c r="AL31" i="5" s="1"/>
  <c r="AQ7" i="5"/>
  <c r="AJ7" i="5"/>
  <c r="AI7" i="5"/>
  <c r="AL7" i="5" s="1"/>
  <c r="AH7" i="5"/>
  <c r="AK7" i="5" s="1"/>
  <c r="AG7" i="5"/>
  <c r="AF7" i="5"/>
  <c r="AC9" i="5"/>
  <c r="AM9" i="5"/>
  <c r="AM10" i="5"/>
  <c r="AG11" i="5"/>
  <c r="AH11" i="5"/>
  <c r="AK11" i="5" s="1"/>
  <c r="AI11" i="5"/>
  <c r="AL11" i="5" s="1"/>
  <c r="AF11" i="5"/>
  <c r="AI12" i="5"/>
  <c r="AL12" i="5"/>
  <c r="AF12" i="5"/>
  <c r="AF14" i="5"/>
  <c r="AH14" i="5"/>
  <c r="AK14" i="5" s="1"/>
  <c r="AI14" i="5"/>
  <c r="AL14" i="5" s="1"/>
  <c r="AG14" i="5"/>
  <c r="AJ14" i="5"/>
  <c r="AM16" i="5"/>
  <c r="AC39" i="5"/>
  <c r="AM39" i="5"/>
  <c r="AF40" i="5"/>
  <c r="AG40" i="5"/>
  <c r="AH40" i="5"/>
  <c r="AK40" i="5" s="1"/>
  <c r="AI40" i="5"/>
  <c r="AL40" i="5" s="1"/>
  <c r="AI41" i="5"/>
  <c r="AL41" i="5" s="1"/>
  <c r="AH41" i="5"/>
  <c r="AK41" i="5" s="1"/>
  <c r="AJ41" i="5"/>
  <c r="AQ42" i="5"/>
  <c r="AI42" i="5"/>
  <c r="AL42" i="5" s="1"/>
  <c r="AF42" i="5"/>
  <c r="AH42" i="5"/>
  <c r="AK42" i="5" s="1"/>
  <c r="AR42" i="5"/>
  <c r="AG42" i="5"/>
  <c r="AJ42" i="5"/>
  <c r="AM56" i="5"/>
  <c r="AC56" i="5"/>
  <c r="AH56" i="5"/>
  <c r="AK56" i="5"/>
  <c r="AQ58" i="5"/>
  <c r="AR58" i="5"/>
  <c r="AX58" i="5" s="1"/>
  <c r="AF58" i="5"/>
  <c r="AJ58" i="5"/>
  <c r="AX53" i="5"/>
  <c r="AG31" i="5"/>
  <c r="AX7" i="5"/>
  <c r="AT54" i="5"/>
  <c r="AG45" i="5"/>
  <c r="AR44" i="5"/>
  <c r="AS44" i="5" s="1"/>
  <c r="AU44" i="5" s="1"/>
  <c r="AH44" i="5"/>
  <c r="AK44" i="5" s="1"/>
  <c r="AJ44" i="5"/>
  <c r="AI44" i="5"/>
  <c r="AL44" i="5"/>
  <c r="AG44" i="5"/>
  <c r="AF50" i="5"/>
  <c r="AH50" i="5"/>
  <c r="AK50" i="5" s="1"/>
  <c r="AI50" i="5"/>
  <c r="AL50" i="5" s="1"/>
  <c r="AJ50" i="5"/>
  <c r="AG50" i="5"/>
  <c r="AF33" i="5"/>
  <c r="AI33" i="5"/>
  <c r="AL33" i="5"/>
  <c r="AQ33" i="5"/>
  <c r="AH33" i="5"/>
  <c r="AK33" i="5" s="1"/>
  <c r="AR33" i="5"/>
  <c r="AX33" i="5" s="1"/>
  <c r="AY33" i="5" s="1"/>
  <c r="AZ33" i="5" s="1"/>
  <c r="AI35" i="5"/>
  <c r="AL35" i="5"/>
  <c r="AJ35" i="5"/>
  <c r="AG6" i="5"/>
  <c r="AF6" i="5"/>
  <c r="AC8" i="5"/>
  <c r="AG8" i="5"/>
  <c r="AJ8" i="5"/>
  <c r="AQ9" i="5"/>
  <c r="AI9" i="5"/>
  <c r="AL9" i="5" s="1"/>
  <c r="AG9" i="5"/>
  <c r="AH9" i="5"/>
  <c r="AK9" i="5"/>
  <c r="AJ9" i="5"/>
  <c r="AF9" i="5"/>
  <c r="AJ10" i="5"/>
  <c r="AH10" i="5"/>
  <c r="AK10" i="5" s="1"/>
  <c r="AG10" i="5"/>
  <c r="AM12" i="5"/>
  <c r="AC12" i="5"/>
  <c r="AC15" i="5"/>
  <c r="AM15" i="5"/>
  <c r="AF15" i="5"/>
  <c r="AJ15" i="5"/>
  <c r="AH15" i="5"/>
  <c r="AK15" i="5" s="1"/>
  <c r="AG15" i="5"/>
  <c r="AI16" i="5"/>
  <c r="AL16" i="5" s="1"/>
  <c r="AF16" i="5"/>
  <c r="AH16" i="5"/>
  <c r="AK16" i="5" s="1"/>
  <c r="AJ16" i="5"/>
  <c r="AG16" i="5"/>
  <c r="AM42" i="5"/>
  <c r="AC42" i="5"/>
  <c r="AC55" i="5"/>
  <c r="AM55" i="5"/>
  <c r="AF55" i="5"/>
  <c r="AX45" i="5"/>
  <c r="AY43" i="5"/>
  <c r="AY57" i="5"/>
  <c r="AZ57" i="5" s="1"/>
  <c r="AZ43" i="5"/>
  <c r="AT13" i="5"/>
  <c r="AY48" i="5"/>
  <c r="AZ48" i="5"/>
  <c r="AS21" i="5"/>
  <c r="AU45" i="5"/>
  <c r="AV45" i="5"/>
  <c r="AW45" i="5" s="1"/>
  <c r="AT37" i="5"/>
  <c r="AS39" i="5"/>
  <c r="AU39" i="5" s="1"/>
  <c r="AT39" i="5"/>
  <c r="AY39" i="5" s="1"/>
  <c r="AS20" i="5"/>
  <c r="AT20" i="5"/>
  <c r="AS33" i="5"/>
  <c r="AU33" i="5" s="1"/>
  <c r="AT33" i="5"/>
  <c r="AX44" i="5"/>
  <c r="AT44" i="5"/>
  <c r="AY44" i="5" s="1"/>
  <c r="AZ44" i="5" s="1"/>
  <c r="AS58" i="5"/>
  <c r="AU58" i="5" s="1"/>
  <c r="AX31" i="5"/>
  <c r="AS42" i="5"/>
  <c r="AV42" i="5" s="1"/>
  <c r="AT42" i="5"/>
  <c r="AY42" i="5" s="1"/>
  <c r="AX42" i="5"/>
  <c r="AU20" i="5"/>
  <c r="AW20" i="5" s="1"/>
  <c r="AV20" i="5"/>
  <c r="AS22" i="5" l="1"/>
  <c r="AX22" i="5"/>
  <c r="AU31" i="5"/>
  <c r="AW31" i="5" s="1"/>
  <c r="AV31" i="5"/>
  <c r="AU32" i="5"/>
  <c r="AW32" i="5" s="1"/>
  <c r="AV32" i="5"/>
  <c r="AU48" i="5"/>
  <c r="AV48" i="5"/>
  <c r="AU56" i="5"/>
  <c r="AW56" i="5" s="1"/>
  <c r="AV56" i="5"/>
  <c r="AJ34" i="5"/>
  <c r="AG34" i="5"/>
  <c r="AI34" i="5"/>
  <c r="AL34" i="5" s="1"/>
  <c r="AH34" i="5"/>
  <c r="AK34" i="5" s="1"/>
  <c r="AF34" i="5"/>
  <c r="AQ34" i="5"/>
  <c r="AR34" i="5"/>
  <c r="AU19" i="5"/>
  <c r="AW19" i="5" s="1"/>
  <c r="AV19" i="5"/>
  <c r="AX56" i="5"/>
  <c r="AY56" i="5" s="1"/>
  <c r="AZ56" i="5" s="1"/>
  <c r="AS16" i="5"/>
  <c r="AX16" i="5"/>
  <c r="AS5" i="5"/>
  <c r="AT5" i="5"/>
  <c r="AS38" i="5"/>
  <c r="AT38" i="5"/>
  <c r="AR10" i="5"/>
  <c r="AR12" i="5"/>
  <c r="AJ12" i="5"/>
  <c r="AR41" i="5"/>
  <c r="AQ56" i="5"/>
  <c r="AH21" i="5"/>
  <c r="AK21" i="5" s="1"/>
  <c r="AR29" i="5"/>
  <c r="AJ28" i="5"/>
  <c r="AA34" i="5"/>
  <c r="AC34" i="5" s="1"/>
  <c r="AB22" i="52"/>
  <c r="AE22" i="52" s="1"/>
  <c r="AC22" i="52"/>
  <c r="AA22" i="52"/>
  <c r="AD22" i="52" s="1"/>
  <c r="AM50" i="5"/>
  <c r="AC50" i="5"/>
  <c r="Q37" i="52"/>
  <c r="AH111" i="5"/>
  <c r="AK111" i="5" s="1"/>
  <c r="Q36" i="52"/>
  <c r="AH112" i="5"/>
  <c r="AK112" i="5" s="1"/>
  <c r="AB36" i="5"/>
  <c r="AM36" i="5" s="1"/>
  <c r="Q33" i="52"/>
  <c r="AJ111" i="5"/>
  <c r="AJ110" i="5"/>
  <c r="AJ112" i="5"/>
  <c r="Q31" i="52"/>
  <c r="Q32" i="52"/>
  <c r="AH110" i="5"/>
  <c r="AK110" i="5" s="1"/>
  <c r="V34" i="52"/>
  <c r="AF34" i="52" s="1"/>
  <c r="Q34" i="52"/>
  <c r="Q35" i="52"/>
  <c r="AB32" i="5"/>
  <c r="AM32" i="5" s="1"/>
  <c r="AJ33" i="5"/>
  <c r="AB33" i="5"/>
  <c r="AM33" i="5" s="1"/>
  <c r="AV33" i="5"/>
  <c r="AW33" i="5" s="1"/>
  <c r="AY51" i="5"/>
  <c r="AZ51" i="5" s="1"/>
  <c r="AS47" i="5"/>
  <c r="AM40" i="5"/>
  <c r="AR6" i="5"/>
  <c r="AJ6" i="5"/>
  <c r="AR8" i="5"/>
  <c r="AW25" i="5"/>
  <c r="AV51" i="5"/>
  <c r="AU51" i="5"/>
  <c r="AQ22" i="5"/>
  <c r="AJ22" i="5"/>
  <c r="AF22" i="5"/>
  <c r="AJ21" i="5"/>
  <c r="AA25" i="5"/>
  <c r="AC25" i="5" s="1"/>
  <c r="W54" i="52"/>
  <c r="AF54" i="52"/>
  <c r="AB5" i="52"/>
  <c r="AE5" i="52" s="1"/>
  <c r="AA5" i="52"/>
  <c r="AD5" i="52" s="1"/>
  <c r="Z32" i="52"/>
  <c r="U32" i="52"/>
  <c r="W32" i="52" s="1"/>
  <c r="Y32" i="52"/>
  <c r="AT31" i="5"/>
  <c r="AY31" i="5" s="1"/>
  <c r="AW59" i="5"/>
  <c r="AW52" i="5"/>
  <c r="AI25" i="5"/>
  <c r="AL25" i="5" s="1"/>
  <c r="AH25" i="5"/>
  <c r="AK25" i="5" s="1"/>
  <c r="AF25" i="5"/>
  <c r="AJ25" i="5"/>
  <c r="AQ25" i="5"/>
  <c r="AA17" i="5"/>
  <c r="AC17" i="5" s="1"/>
  <c r="AE17" i="5"/>
  <c r="AC28" i="52"/>
  <c r="AA28" i="52"/>
  <c r="AD28" i="52" s="1"/>
  <c r="AB28" i="52"/>
  <c r="AE28" i="52" s="1"/>
  <c r="AZ42" i="5"/>
  <c r="AV58" i="5"/>
  <c r="AW58" i="5" s="1"/>
  <c r="AX37" i="5"/>
  <c r="AY37" i="5" s="1"/>
  <c r="AZ37" i="5" s="1"/>
  <c r="AV55" i="5"/>
  <c r="AW55" i="5" s="1"/>
  <c r="AF10" i="5"/>
  <c r="AF8" i="5"/>
  <c r="AH6" i="5"/>
  <c r="AK6" i="5" s="1"/>
  <c r="AC13" i="5"/>
  <c r="AF56" i="5"/>
  <c r="AG12" i="5"/>
  <c r="AM11" i="5"/>
  <c r="AC7" i="5"/>
  <c r="AY7" i="5"/>
  <c r="AZ7" i="5" s="1"/>
  <c r="AC47" i="5"/>
  <c r="AF28" i="5"/>
  <c r="AV59" i="5"/>
  <c r="AI21" i="5"/>
  <c r="AL21" i="5" s="1"/>
  <c r="AQ6" i="5"/>
  <c r="AX52" i="5"/>
  <c r="AY52" i="5" s="1"/>
  <c r="AZ52" i="5" s="1"/>
  <c r="AS53" i="5"/>
  <c r="AT53" i="5"/>
  <c r="AY53" i="5" s="1"/>
  <c r="AZ53" i="5" s="1"/>
  <c r="AR28" i="5"/>
  <c r="AG22" i="5"/>
  <c r="AQ44" i="5"/>
  <c r="AF44" i="5"/>
  <c r="AJ29" i="5"/>
  <c r="AG29" i="5"/>
  <c r="AC9" i="52"/>
  <c r="AG36" i="5"/>
  <c r="AH36" i="5"/>
  <c r="AK36" i="5" s="1"/>
  <c r="AJ36" i="5"/>
  <c r="AA41" i="52"/>
  <c r="AD41" i="52" s="1"/>
  <c r="AE18" i="5"/>
  <c r="AU54" i="5"/>
  <c r="AW54" i="5" s="1"/>
  <c r="AR24" i="5"/>
  <c r="AR18" i="5"/>
  <c r="AC7" i="52"/>
  <c r="AB7" i="52"/>
  <c r="AE7" i="52" s="1"/>
  <c r="AC5" i="52"/>
  <c r="AZ31" i="5"/>
  <c r="AV39" i="5"/>
  <c r="AW39" i="5" s="1"/>
  <c r="AT16" i="5"/>
  <c r="AY16" i="5" s="1"/>
  <c r="AZ16" i="5" s="1"/>
  <c r="AH8" i="5"/>
  <c r="AK8" i="5" s="1"/>
  <c r="AI6" i="5"/>
  <c r="AL6" i="5" s="1"/>
  <c r="AH12" i="5"/>
  <c r="AK12" i="5" s="1"/>
  <c r="AY26" i="5"/>
  <c r="AZ26" i="5" s="1"/>
  <c r="AX5" i="5"/>
  <c r="AV30" i="5"/>
  <c r="AW30" i="5" s="1"/>
  <c r="AT19" i="5"/>
  <c r="AY19" i="5" s="1"/>
  <c r="AZ19" i="5" s="1"/>
  <c r="AQ8" i="5"/>
  <c r="AQ11" i="5"/>
  <c r="AR11" i="5"/>
  <c r="AJ11" i="5"/>
  <c r="AR40" i="5"/>
  <c r="AJ40" i="5"/>
  <c r="AA35" i="52"/>
  <c r="AD35" i="52" s="1"/>
  <c r="AX32" i="5"/>
  <c r="AY32" i="5" s="1"/>
  <c r="AZ32" i="5" s="1"/>
  <c r="AN22" i="5"/>
  <c r="AT22" i="5"/>
  <c r="AY22" i="5" s="1"/>
  <c r="AZ22" i="5" s="1"/>
  <c r="AB54" i="52"/>
  <c r="AE54" i="52" s="1"/>
  <c r="AA55" i="52"/>
  <c r="AD55" i="52" s="1"/>
  <c r="AC55" i="52"/>
  <c r="AG35" i="5"/>
  <c r="AF35" i="5"/>
  <c r="AT58" i="5"/>
  <c r="AY58" i="5" s="1"/>
  <c r="AZ58" i="5" s="1"/>
  <c r="AY20" i="5"/>
  <c r="AZ20" i="5" s="1"/>
  <c r="AI58" i="5"/>
  <c r="AL58" i="5" s="1"/>
  <c r="AG56" i="5"/>
  <c r="AF41" i="5"/>
  <c r="AM6" i="5"/>
  <c r="AF29" i="5"/>
  <c r="AU42" i="5"/>
  <c r="AW42" i="5" s="1"/>
  <c r="AX13" i="5"/>
  <c r="AY13" i="5" s="1"/>
  <c r="AZ13" i="5" s="1"/>
  <c r="AI10" i="5"/>
  <c r="AL10" i="5" s="1"/>
  <c r="AR35" i="5"/>
  <c r="AH58" i="5"/>
  <c r="AK58" i="5" s="1"/>
  <c r="AJ56" i="5"/>
  <c r="AG41" i="5"/>
  <c r="AX38" i="5"/>
  <c r="AX24" i="5"/>
  <c r="AH37" i="5"/>
  <c r="AK37" i="5" s="1"/>
  <c r="AV43" i="5"/>
  <c r="AW43" i="5" s="1"/>
  <c r="AI29" i="5"/>
  <c r="AL29" i="5" s="1"/>
  <c r="AX54" i="5"/>
  <c r="AY54" i="5" s="1"/>
  <c r="AZ54" i="5" s="1"/>
  <c r="AT25" i="5"/>
  <c r="AY25" i="5" s="1"/>
  <c r="AZ25" i="5" s="1"/>
  <c r="AQ21" i="5"/>
  <c r="AR36" i="5"/>
  <c r="AQ36" i="5"/>
  <c r="AR15" i="5"/>
  <c r="AI15" i="5"/>
  <c r="AL15" i="5" s="1"/>
  <c r="AQ47" i="5"/>
  <c r="AI30" i="5"/>
  <c r="AL30" i="5" s="1"/>
  <c r="AG30" i="5"/>
  <c r="AF30" i="5"/>
  <c r="AA18" i="5"/>
  <c r="AC18" i="5" s="1"/>
  <c r="AB22" i="5"/>
  <c r="AM22" i="5" s="1"/>
  <c r="AG25" i="5"/>
  <c r="AB55" i="52"/>
  <c r="AE55" i="52" s="1"/>
  <c r="AA54" i="52"/>
  <c r="AD54" i="52" s="1"/>
  <c r="AB17" i="52"/>
  <c r="AE17" i="52" s="1"/>
  <c r="AC17" i="52"/>
  <c r="AA17" i="52"/>
  <c r="AD17" i="52" s="1"/>
  <c r="AC30" i="52"/>
  <c r="AB30" i="52"/>
  <c r="AE30" i="52" s="1"/>
  <c r="U30" i="52"/>
  <c r="W30" i="52" s="1"/>
  <c r="V30" i="52"/>
  <c r="AF30" i="52" s="1"/>
  <c r="AY45" i="5"/>
  <c r="AZ45" i="5" s="1"/>
  <c r="AT49" i="5"/>
  <c r="AY49" i="5" s="1"/>
  <c r="AZ49" i="5" s="1"/>
  <c r="AV7" i="5"/>
  <c r="AW7" i="5" s="1"/>
  <c r="AB35" i="5"/>
  <c r="AM35" i="5" s="1"/>
  <c r="Z30" i="52"/>
  <c r="W11" i="52"/>
  <c r="AF11" i="52"/>
  <c r="AB56" i="52"/>
  <c r="AE56" i="52" s="1"/>
  <c r="AC56" i="52"/>
  <c r="W9" i="52"/>
  <c r="Q6" i="52"/>
  <c r="Q5" i="52"/>
  <c r="Q24" i="52"/>
  <c r="Q25" i="52"/>
  <c r="V35" i="52"/>
  <c r="AF35" i="52" s="1"/>
  <c r="V25" i="52"/>
  <c r="AF25" i="52" s="1"/>
  <c r="AJ106" i="5"/>
  <c r="P18" i="52"/>
  <c r="AH18" i="52" s="1"/>
  <c r="AB5" i="5"/>
  <c r="AG13" i="5"/>
  <c r="AB33" i="52"/>
  <c r="AE33" i="52" s="1"/>
  <c r="Q22" i="52"/>
  <c r="Q23" i="52"/>
  <c r="AJ108" i="5"/>
  <c r="P22" i="52"/>
  <c r="AH22" i="52" s="1"/>
  <c r="P40" i="52"/>
  <c r="AH40" i="52" s="1"/>
  <c r="P44" i="52"/>
  <c r="AH44" i="52" s="1"/>
  <c r="U11" i="52"/>
  <c r="AH57" i="5"/>
  <c r="AK57" i="5" s="1"/>
  <c r="AB41" i="5"/>
  <c r="AJ38" i="5"/>
  <c r="AJ51" i="5"/>
  <c r="AH46" i="5"/>
  <c r="AK46" i="5" s="1"/>
  <c r="AC11" i="52"/>
  <c r="S21" i="5"/>
  <c r="AU21" i="5" s="1"/>
  <c r="U16" i="5"/>
  <c r="S14" i="5"/>
  <c r="AN14" i="5" s="1"/>
  <c r="V9" i="5"/>
  <c r="AR9" i="5" s="1"/>
  <c r="AB37" i="5"/>
  <c r="AM37" i="5" s="1"/>
  <c r="AA12" i="52"/>
  <c r="AD12" i="52" s="1"/>
  <c r="AB12" i="52"/>
  <c r="AE12" i="52" s="1"/>
  <c r="AA6" i="52"/>
  <c r="AD6" i="52" s="1"/>
  <c r="AA10" i="52"/>
  <c r="AD10" i="52" s="1"/>
  <c r="V29" i="52"/>
  <c r="AF29" i="52" s="1"/>
  <c r="W7" i="52"/>
  <c r="Z21" i="52"/>
  <c r="V26" i="52"/>
  <c r="AF26" i="52" s="1"/>
  <c r="Y37" i="52"/>
  <c r="Y34" i="52"/>
  <c r="AA8" i="52"/>
  <c r="AD8" i="52" s="1"/>
  <c r="P38" i="52"/>
  <c r="AH38" i="52" s="1"/>
  <c r="P17" i="52"/>
  <c r="AH17" i="52" s="1"/>
  <c r="P56" i="52"/>
  <c r="AH56" i="52" s="1"/>
  <c r="P10" i="52"/>
  <c r="AH10" i="52" s="1"/>
  <c r="P5" i="52"/>
  <c r="AH5" i="52" s="1"/>
  <c r="P47" i="52"/>
  <c r="AH47" i="52" s="1"/>
  <c r="Q30" i="52"/>
  <c r="Q18" i="52"/>
  <c r="Q19" i="52"/>
  <c r="T31" i="52"/>
  <c r="AH109" i="5"/>
  <c r="AK109" i="5" s="1"/>
  <c r="Q42" i="52"/>
  <c r="V47" i="52"/>
  <c r="Q57" i="52"/>
  <c r="Q40" i="52"/>
  <c r="Q53" i="52"/>
  <c r="AH119" i="5"/>
  <c r="AK119" i="5" s="1"/>
  <c r="AJ109" i="5"/>
  <c r="AJ118" i="5"/>
  <c r="AB26" i="52"/>
  <c r="AE26" i="52" s="1"/>
  <c r="AB23" i="52"/>
  <c r="AE23" i="52" s="1"/>
  <c r="AB10" i="52"/>
  <c r="AE10" i="52" s="1"/>
  <c r="Y25" i="52"/>
  <c r="Y29" i="52"/>
  <c r="AC29" i="52" s="1"/>
  <c r="U21" i="52"/>
  <c r="W21" i="52" s="1"/>
  <c r="AC26" i="52"/>
  <c r="U37" i="52"/>
  <c r="W37" i="52" s="1"/>
  <c r="P42" i="52"/>
  <c r="AH42" i="52" s="1"/>
  <c r="P50" i="52"/>
  <c r="AH50" i="52" s="1"/>
  <c r="P15" i="52"/>
  <c r="AH15" i="52" s="1"/>
  <c r="P45" i="52"/>
  <c r="AH45" i="52" s="1"/>
  <c r="P58" i="52"/>
  <c r="AH58" i="52" s="1"/>
  <c r="V6" i="52"/>
  <c r="Q28" i="52"/>
  <c r="Q29" i="52"/>
  <c r="Q17" i="52"/>
  <c r="AH105" i="5"/>
  <c r="AK105" i="5" s="1"/>
  <c r="V52" i="52"/>
  <c r="AH106" i="5"/>
  <c r="AK106" i="5" s="1"/>
  <c r="AJ117" i="5"/>
  <c r="AH108" i="5"/>
  <c r="AK108" i="5" s="1"/>
  <c r="AB29" i="5"/>
  <c r="AM29" i="5" s="1"/>
  <c r="AB26" i="5"/>
  <c r="AM26" i="5" s="1"/>
  <c r="AC42" i="52"/>
  <c r="W38" i="52"/>
  <c r="AF57" i="52"/>
  <c r="U20" i="52"/>
  <c r="W20" i="52" s="1"/>
  <c r="V21" i="52"/>
  <c r="AF21" i="52" s="1"/>
  <c r="Y27" i="52"/>
  <c r="V37" i="52"/>
  <c r="AF37" i="52" s="1"/>
  <c r="V22" i="52"/>
  <c r="AF22" i="52" s="1"/>
  <c r="U58" i="52"/>
  <c r="P48" i="52"/>
  <c r="AH48" i="52" s="1"/>
  <c r="P57" i="52"/>
  <c r="AH57" i="52" s="1"/>
  <c r="P6" i="52"/>
  <c r="AH6" i="52" s="1"/>
  <c r="V5" i="52"/>
  <c r="Q10" i="52"/>
  <c r="Q26" i="52"/>
  <c r="Q27" i="52"/>
  <c r="T36" i="52"/>
  <c r="V45" i="52"/>
  <c r="V10" i="52"/>
  <c r="AV13" i="5"/>
  <c r="AU13" i="5"/>
  <c r="AW13" i="5" s="1"/>
  <c r="AV46" i="5"/>
  <c r="AU46" i="5"/>
  <c r="AW46" i="5" s="1"/>
  <c r="AU53" i="5"/>
  <c r="AV53" i="5"/>
  <c r="AV38" i="5"/>
  <c r="AU38" i="5"/>
  <c r="AW38" i="5" s="1"/>
  <c r="AU26" i="5"/>
  <c r="AV26" i="5"/>
  <c r="AX50" i="5"/>
  <c r="AT50" i="5"/>
  <c r="AS50" i="5"/>
  <c r="AT15" i="5"/>
  <c r="AY15" i="5" s="1"/>
  <c r="AX15" i="5"/>
  <c r="AS15" i="5"/>
  <c r="AV23" i="5"/>
  <c r="AU23" i="5"/>
  <c r="AV27" i="5"/>
  <c r="AU27" i="5"/>
  <c r="AW27" i="5" s="1"/>
  <c r="AU57" i="5"/>
  <c r="AW57" i="5" s="1"/>
  <c r="AV57" i="5"/>
  <c r="AU16" i="5"/>
  <c r="AV16" i="5"/>
  <c r="AU5" i="5"/>
  <c r="AV5" i="5"/>
  <c r="AU49" i="5"/>
  <c r="AV49" i="5"/>
  <c r="AT6" i="5"/>
  <c r="AS6" i="5"/>
  <c r="AX6" i="5"/>
  <c r="AX14" i="5"/>
  <c r="AT14" i="5"/>
  <c r="AY14" i="5" s="1"/>
  <c r="AS14" i="5"/>
  <c r="AT40" i="5"/>
  <c r="AS40" i="5"/>
  <c r="AX40" i="5"/>
  <c r="AU22" i="5"/>
  <c r="AV22" i="5"/>
  <c r="AZ39" i="5"/>
  <c r="AA20" i="52"/>
  <c r="AD20" i="52" s="1"/>
  <c r="AC20" i="52"/>
  <c r="AA15" i="52"/>
  <c r="AD15" i="52" s="1"/>
  <c r="AC15" i="52"/>
  <c r="AA40" i="52"/>
  <c r="AD40" i="52" s="1"/>
  <c r="AC40" i="52"/>
  <c r="AB43" i="52"/>
  <c r="AE43" i="52" s="1"/>
  <c r="AA43" i="52"/>
  <c r="AD43" i="52" s="1"/>
  <c r="AA51" i="52"/>
  <c r="AD51" i="52" s="1"/>
  <c r="AB51" i="52"/>
  <c r="AE51" i="52" s="1"/>
  <c r="AC19" i="52"/>
  <c r="AB19" i="52"/>
  <c r="AE19" i="52" s="1"/>
  <c r="AA19" i="52"/>
  <c r="AD19" i="52" s="1"/>
  <c r="AB25" i="52"/>
  <c r="AE25" i="52" s="1"/>
  <c r="AA25" i="52"/>
  <c r="AD25" i="52" s="1"/>
  <c r="AC25" i="52"/>
  <c r="AB24" i="52"/>
  <c r="AE24" i="52" s="1"/>
  <c r="AA24" i="52"/>
  <c r="AD24" i="52" s="1"/>
  <c r="AC24" i="52"/>
  <c r="W45" i="52"/>
  <c r="AF45" i="52"/>
  <c r="W10" i="52"/>
  <c r="AF10" i="52"/>
  <c r="AC39" i="52"/>
  <c r="AB39" i="52"/>
  <c r="AE39" i="52" s="1"/>
  <c r="AA39" i="52"/>
  <c r="AD39" i="52" s="1"/>
  <c r="AB29" i="52"/>
  <c r="AE29" i="52" s="1"/>
  <c r="AA29" i="52"/>
  <c r="AD29" i="52" s="1"/>
  <c r="W58" i="52"/>
  <c r="AF58" i="52"/>
  <c r="AV37" i="5"/>
  <c r="AW37" i="5" s="1"/>
  <c r="AV21" i="5"/>
  <c r="AV44" i="5"/>
  <c r="AW44" i="5" s="1"/>
  <c r="AT28" i="5"/>
  <c r="W42" i="52"/>
  <c r="AA7" i="52"/>
  <c r="AD7" i="52" s="1"/>
  <c r="AB20" i="52"/>
  <c r="AE20" i="52" s="1"/>
  <c r="AA26" i="52"/>
  <c r="AD26" i="52" s="1"/>
  <c r="AB16" i="52"/>
  <c r="AE16" i="52" s="1"/>
  <c r="AC18" i="52"/>
  <c r="AA13" i="52"/>
  <c r="AD13" i="52" s="1"/>
  <c r="W59" i="52"/>
  <c r="AB18" i="52"/>
  <c r="AE18" i="52" s="1"/>
  <c r="AA9" i="52"/>
  <c r="AD9" i="52" s="1"/>
  <c r="AC35" i="52"/>
  <c r="Z25" i="52"/>
  <c r="U25" i="52"/>
  <c r="W25" i="52" s="1"/>
  <c r="V24" i="52"/>
  <c r="AF24" i="52" s="1"/>
  <c r="Z27" i="52"/>
  <c r="U27" i="52"/>
  <c r="W27" i="52" s="1"/>
  <c r="W41" i="52"/>
  <c r="Z35" i="52"/>
  <c r="U35" i="52"/>
  <c r="W35" i="52" s="1"/>
  <c r="V33" i="52"/>
  <c r="AF33" i="52" s="1"/>
  <c r="U33" i="52"/>
  <c r="W33" i="52" s="1"/>
  <c r="Y50" i="52"/>
  <c r="U45" i="52"/>
  <c r="Y45" i="52"/>
  <c r="U53" i="52"/>
  <c r="Y58" i="52"/>
  <c r="V49" i="52"/>
  <c r="V55" i="52"/>
  <c r="V51" i="52"/>
  <c r="V43" i="52"/>
  <c r="V48" i="52"/>
  <c r="V44" i="52"/>
  <c r="V53" i="52"/>
  <c r="V15" i="52"/>
  <c r="V14" i="52"/>
  <c r="Y52" i="52"/>
  <c r="Y44" i="52"/>
  <c r="AA38" i="5"/>
  <c r="AS9" i="5" l="1"/>
  <c r="AT9" i="5"/>
  <c r="AX9" i="5"/>
  <c r="AW23" i="5"/>
  <c r="AA27" i="52"/>
  <c r="AD27" i="52" s="1"/>
  <c r="AC27" i="52"/>
  <c r="AB27" i="52"/>
  <c r="AE27" i="52" s="1"/>
  <c r="AF47" i="52"/>
  <c r="W47" i="52"/>
  <c r="AS28" i="5"/>
  <c r="AX28" i="5"/>
  <c r="AY28" i="5" s="1"/>
  <c r="AZ28" i="5" s="1"/>
  <c r="AS29" i="5"/>
  <c r="AT29" i="5"/>
  <c r="AX29" i="5"/>
  <c r="AS10" i="5"/>
  <c r="AX10" i="5"/>
  <c r="AT10" i="5"/>
  <c r="AY10" i="5" s="1"/>
  <c r="AZ10" i="5" s="1"/>
  <c r="V36" i="52"/>
  <c r="AF36" i="52" s="1"/>
  <c r="U36" i="52"/>
  <c r="W36" i="52" s="1"/>
  <c r="Y36" i="52"/>
  <c r="Z36" i="52"/>
  <c r="AH18" i="5"/>
  <c r="AK18" i="5" s="1"/>
  <c r="AG18" i="5"/>
  <c r="AF18" i="5"/>
  <c r="AJ18" i="5"/>
  <c r="AI18" i="5"/>
  <c r="AL18" i="5" s="1"/>
  <c r="AQ18" i="5"/>
  <c r="AB32" i="52"/>
  <c r="AE32" i="52" s="1"/>
  <c r="AA32" i="52"/>
  <c r="AD32" i="52" s="1"/>
  <c r="AC32" i="52"/>
  <c r="AY38" i="5"/>
  <c r="AZ38" i="5" s="1"/>
  <c r="AT34" i="5"/>
  <c r="AX34" i="5"/>
  <c r="AS34" i="5"/>
  <c r="AW21" i="5"/>
  <c r="AC34" i="52"/>
  <c r="AB34" i="52"/>
  <c r="AE34" i="52" s="1"/>
  <c r="AA34" i="52"/>
  <c r="AD34" i="52" s="1"/>
  <c r="AC5" i="5"/>
  <c r="AM5" i="5"/>
  <c r="AW51" i="5"/>
  <c r="AU47" i="5"/>
  <c r="AV47" i="5"/>
  <c r="AW5" i="5"/>
  <c r="AZ15" i="5"/>
  <c r="AY50" i="5"/>
  <c r="Y31" i="52"/>
  <c r="V31" i="52"/>
  <c r="AF31" i="52" s="1"/>
  <c r="U31" i="52"/>
  <c r="W31" i="52" s="1"/>
  <c r="Z31" i="52"/>
  <c r="AA37" i="52"/>
  <c r="AD37" i="52" s="1"/>
  <c r="AC37" i="52"/>
  <c r="AB37" i="52"/>
  <c r="AE37" i="52" s="1"/>
  <c r="AM41" i="5"/>
  <c r="AC41" i="5"/>
  <c r="AJ17" i="5"/>
  <c r="AH17" i="5"/>
  <c r="AK17" i="5" s="1"/>
  <c r="AQ17" i="5"/>
  <c r="AF17" i="5"/>
  <c r="AI17" i="5"/>
  <c r="AL17" i="5" s="1"/>
  <c r="AR17" i="5"/>
  <c r="AG17" i="5"/>
  <c r="AS41" i="5"/>
  <c r="AT41" i="5"/>
  <c r="AX41" i="5"/>
  <c r="AY5" i="5"/>
  <c r="AZ5" i="5" s="1"/>
  <c r="AW48" i="5"/>
  <c r="W6" i="52"/>
  <c r="AF6" i="52"/>
  <c r="AX21" i="5"/>
  <c r="AT21" i="5"/>
  <c r="AY21" i="5" s="1"/>
  <c r="AZ21" i="5" s="1"/>
  <c r="AN21" i="5"/>
  <c r="AS11" i="5"/>
  <c r="AX11" i="5"/>
  <c r="AT11" i="5"/>
  <c r="AY11" i="5" s="1"/>
  <c r="AZ11" i="5" s="1"/>
  <c r="AS18" i="5"/>
  <c r="AT18" i="5"/>
  <c r="AX18" i="5"/>
  <c r="AS8" i="5"/>
  <c r="AT8" i="5"/>
  <c r="AX8" i="5"/>
  <c r="AW49" i="5"/>
  <c r="AW16" i="5"/>
  <c r="W5" i="52"/>
  <c r="AF5" i="52"/>
  <c r="W52" i="52"/>
  <c r="AF52" i="52"/>
  <c r="AX36" i="5"/>
  <c r="AS36" i="5"/>
  <c r="AT36" i="5"/>
  <c r="AY36" i="5" s="1"/>
  <c r="AX35" i="5"/>
  <c r="AY35" i="5" s="1"/>
  <c r="AZ35" i="5" s="1"/>
  <c r="AT35" i="5"/>
  <c r="AS35" i="5"/>
  <c r="AS24" i="5"/>
  <c r="AT24" i="5"/>
  <c r="AY24" i="5" s="1"/>
  <c r="AZ24" i="5" s="1"/>
  <c r="AS12" i="5"/>
  <c r="AT12" i="5"/>
  <c r="AY12" i="5" s="1"/>
  <c r="AZ12" i="5" s="1"/>
  <c r="AX12" i="5"/>
  <c r="AA52" i="52"/>
  <c r="AD52" i="52" s="1"/>
  <c r="AC52" i="52"/>
  <c r="AB52" i="52"/>
  <c r="AE52" i="52" s="1"/>
  <c r="AF44" i="52"/>
  <c r="W44" i="52"/>
  <c r="AF55" i="52"/>
  <c r="W55" i="52"/>
  <c r="AA45" i="52"/>
  <c r="AD45" i="52" s="1"/>
  <c r="AC45" i="52"/>
  <c r="AB45" i="52"/>
  <c r="AE45" i="52" s="1"/>
  <c r="AC44" i="52"/>
  <c r="AA44" i="52"/>
  <c r="AD44" i="52" s="1"/>
  <c r="AB44" i="52"/>
  <c r="AE44" i="52" s="1"/>
  <c r="W14" i="52"/>
  <c r="AF14" i="52"/>
  <c r="AF53" i="52"/>
  <c r="W53" i="52"/>
  <c r="AF48" i="52"/>
  <c r="W48" i="52"/>
  <c r="AF51" i="52"/>
  <c r="W51" i="52"/>
  <c r="AF49" i="52"/>
  <c r="W49" i="52"/>
  <c r="AU40" i="5"/>
  <c r="AV40" i="5"/>
  <c r="AU14" i="5"/>
  <c r="AV14" i="5"/>
  <c r="AU6" i="5"/>
  <c r="AV6" i="5"/>
  <c r="AU15" i="5"/>
  <c r="AV15" i="5"/>
  <c r="AU50" i="5"/>
  <c r="AV50" i="5"/>
  <c r="AW22" i="5"/>
  <c r="AZ14" i="5"/>
  <c r="AZ50" i="5"/>
  <c r="AW26" i="5"/>
  <c r="AW53" i="5"/>
  <c r="AF15" i="52"/>
  <c r="W15" i="52"/>
  <c r="AF43" i="52"/>
  <c r="W43" i="52"/>
  <c r="AB58" i="52"/>
  <c r="AE58" i="52" s="1"/>
  <c r="AA58" i="52"/>
  <c r="AD58" i="52" s="1"/>
  <c r="AC58" i="52"/>
  <c r="AA50" i="52"/>
  <c r="AD50" i="52" s="1"/>
  <c r="AB50" i="52"/>
  <c r="AE50" i="52" s="1"/>
  <c r="AC50" i="52"/>
  <c r="AU9" i="5"/>
  <c r="AV9" i="5"/>
  <c r="AY40" i="5"/>
  <c r="AZ40" i="5" s="1"/>
  <c r="AY6" i="5"/>
  <c r="AZ6" i="5" s="1"/>
  <c r="AY9" i="5"/>
  <c r="AZ9" i="5" s="1"/>
  <c r="AU36" i="5" l="1"/>
  <c r="AV36" i="5"/>
  <c r="AY18" i="5"/>
  <c r="AZ18" i="5" s="1"/>
  <c r="AC31" i="52"/>
  <c r="AA31" i="52"/>
  <c r="AD31" i="52" s="1"/>
  <c r="AB31" i="52"/>
  <c r="AE31" i="52" s="1"/>
  <c r="AW50" i="5"/>
  <c r="AW14" i="5"/>
  <c r="AU24" i="5"/>
  <c r="AV24" i="5"/>
  <c r="AZ36" i="5"/>
  <c r="AU18" i="5"/>
  <c r="AW18" i="5" s="1"/>
  <c r="AV18" i="5"/>
  <c r="AY41" i="5"/>
  <c r="AZ41" i="5" s="1"/>
  <c r="AU34" i="5"/>
  <c r="AV34" i="5"/>
  <c r="AU28" i="5"/>
  <c r="AV28" i="5"/>
  <c r="AU35" i="5"/>
  <c r="AV35" i="5"/>
  <c r="AU41" i="5"/>
  <c r="AV41" i="5"/>
  <c r="AU10" i="5"/>
  <c r="AW10" i="5" s="1"/>
  <c r="AV10" i="5"/>
  <c r="AW15" i="5"/>
  <c r="AW40" i="5"/>
  <c r="AY8" i="5"/>
  <c r="AZ8" i="5" s="1"/>
  <c r="AY34" i="5"/>
  <c r="AZ34" i="5" s="1"/>
  <c r="AB36" i="52"/>
  <c r="AE36" i="52" s="1"/>
  <c r="AA36" i="52"/>
  <c r="AD36" i="52" s="1"/>
  <c r="AC36" i="52"/>
  <c r="AY29" i="5"/>
  <c r="AZ29" i="5" s="1"/>
  <c r="AV8" i="5"/>
  <c r="AU8" i="5"/>
  <c r="AW8" i="5" s="1"/>
  <c r="AV11" i="5"/>
  <c r="AU11" i="5"/>
  <c r="AS17" i="5"/>
  <c r="AT17" i="5"/>
  <c r="AX17" i="5"/>
  <c r="AW6" i="5"/>
  <c r="AU12" i="5"/>
  <c r="AW12" i="5" s="1"/>
  <c r="AV12" i="5"/>
  <c r="AW47" i="5"/>
  <c r="AU29" i="5"/>
  <c r="AV29" i="5"/>
  <c r="AW9" i="5"/>
  <c r="AW28" i="5" l="1"/>
  <c r="AW29" i="5"/>
  <c r="AW34" i="5"/>
  <c r="AY17" i="5"/>
  <c r="AZ17" i="5" s="1"/>
  <c r="AW41" i="5"/>
  <c r="AW24" i="5"/>
  <c r="AU17" i="5"/>
  <c r="AW17" i="5" s="1"/>
  <c r="AV17" i="5"/>
  <c r="AW11" i="5"/>
  <c r="AW35" i="5"/>
  <c r="AW36" i="5"/>
</calcChain>
</file>

<file path=xl/sharedStrings.xml><?xml version="1.0" encoding="utf-8"?>
<sst xmlns="http://schemas.openxmlformats.org/spreadsheetml/2006/main" count="796" uniqueCount="238">
  <si>
    <t>Reference info</t>
  </si>
  <si>
    <t>I have had the engineering unit burner tubes measured.</t>
  </si>
  <si>
    <t>K factors for SPICE fuels</t>
  </si>
  <si>
    <t>We used an English gauge</t>
  </si>
  <si>
    <t>Fuel</t>
  </si>
  <si>
    <t>K factor</t>
  </si>
  <si>
    <t>Formula</t>
  </si>
  <si>
    <t>Molecular weight</t>
  </si>
  <si>
    <t>The 1.6 mm tube inner diameter is 0.063 inches or 1.6002 mm.  The length is 1.170 inches</t>
  </si>
  <si>
    <t>Ethylene</t>
  </si>
  <si>
    <t>C2H4</t>
  </si>
  <si>
    <t xml:space="preserve">The 0.8 mm tube inner diameter is 0.30 inches or 0.762 mm.  The length is </t>
  </si>
  <si>
    <t>1.160 inches</t>
  </si>
  <si>
    <t>Propane</t>
  </si>
  <si>
    <t>C3H8</t>
  </si>
  <si>
    <t xml:space="preserve">The 0.4 mm tube inner diameter is 0.016 inches or 0.4064 mm.  The length is </t>
  </si>
  <si>
    <t>1.150 inches.</t>
  </si>
  <si>
    <t>Propylene</t>
  </si>
  <si>
    <t>C3H6</t>
  </si>
  <si>
    <t>75% Propylene</t>
  </si>
  <si>
    <t>3C3H6-N2</t>
  </si>
  <si>
    <t>Image calibration in Spotlight</t>
  </si>
  <si>
    <t>Air to actual flow correlation</t>
  </si>
  <si>
    <t>50% Propylene</t>
  </si>
  <si>
    <t>C3H6-N2</t>
  </si>
  <si>
    <t>Location</t>
  </si>
  <si>
    <t>slope</t>
  </si>
  <si>
    <t>Methane</t>
  </si>
  <si>
    <t>CH4</t>
  </si>
  <si>
    <t>intercept</t>
  </si>
  <si>
    <t xml:space="preserve">K factor for a mixture is computed from Prof. Peter Sunderland's equation </t>
  </si>
  <si>
    <t>Kmixture = 1/sum(xi/Ki)</t>
  </si>
  <si>
    <t>where xi is the mole fraction of the ith gases.</t>
  </si>
  <si>
    <t>Density for SPICE fuels</t>
  </si>
  <si>
    <t>Temperature</t>
  </si>
  <si>
    <t>Pressure</t>
  </si>
  <si>
    <t>Density (g/m^3)</t>
  </si>
  <si>
    <t>Slope</t>
  </si>
  <si>
    <t>Intercept</t>
  </si>
  <si>
    <t>Master Sheets of ISS  Tests for SPICE</t>
  </si>
  <si>
    <t>GMT date</t>
  </si>
  <si>
    <t>GMT ignition</t>
  </si>
  <si>
    <t xml:space="preserve">GMT  Flame Off </t>
  </si>
  <si>
    <t>GMT data</t>
  </si>
  <si>
    <t>No.</t>
  </si>
  <si>
    <t xml:space="preserve">Nozzle </t>
  </si>
  <si>
    <t>Air</t>
  </si>
  <si>
    <t>Fan</t>
  </si>
  <si>
    <t>Rad</t>
  </si>
  <si>
    <t>Gain</t>
  </si>
  <si>
    <t>x264 Pixel</t>
  </si>
  <si>
    <t>Length</t>
  </si>
  <si>
    <t>Air Rate</t>
  </si>
  <si>
    <t>Air/Fuel</t>
  </si>
  <si>
    <t>?</t>
  </si>
  <si>
    <t>(mm)</t>
  </si>
  <si>
    <t>(Pa)</t>
  </si>
  <si>
    <t>Display</t>
  </si>
  <si>
    <t>mm</t>
  </si>
  <si>
    <t>sccm</t>
  </si>
  <si>
    <t>(mg/s)</t>
  </si>
  <si>
    <t>(cm/s)</t>
  </si>
  <si>
    <t>Velocity Ratio</t>
  </si>
  <si>
    <t>75 % Propylene</t>
  </si>
  <si>
    <t>Ku              LOS</t>
  </si>
  <si>
    <t>no ku</t>
  </si>
  <si>
    <t>055</t>
  </si>
  <si>
    <t>60E</t>
  </si>
  <si>
    <t>50 % Propylene</t>
  </si>
  <si>
    <t>55B</t>
  </si>
  <si>
    <t>058</t>
  </si>
  <si>
    <t>78C</t>
  </si>
  <si>
    <t>84C</t>
  </si>
  <si>
    <t>Total Fuel Rate</t>
  </si>
  <si>
    <t>HC Only Rate</t>
  </si>
  <si>
    <t>Velocity (cm/s)</t>
  </si>
  <si>
    <t>Initial Fuel</t>
  </si>
  <si>
    <t>Viscosity</t>
  </si>
  <si>
    <t>.21O2-.79N2</t>
  </si>
  <si>
    <t>Zst</t>
  </si>
  <si>
    <t>SP?</t>
  </si>
  <si>
    <t>Pixel</t>
  </si>
  <si>
    <t>Day 045</t>
  </si>
  <si>
    <t>Day 052</t>
  </si>
  <si>
    <t>Day 048</t>
  </si>
  <si>
    <t>Day 055</t>
  </si>
  <si>
    <t>Day 058</t>
  </si>
  <si>
    <t>Day 119</t>
  </si>
  <si>
    <t>DVD</t>
  </si>
  <si>
    <t>DVCAM</t>
  </si>
  <si>
    <t>Day 136</t>
  </si>
  <si>
    <t>Day 167</t>
  </si>
  <si>
    <t>Day 168</t>
  </si>
  <si>
    <t>Day 173</t>
  </si>
  <si>
    <t>Day 174</t>
  </si>
  <si>
    <t>Air Properties</t>
  </si>
  <si>
    <t>(Tad+Tamb)/2</t>
  </si>
  <si>
    <t>Density</t>
  </si>
  <si>
    <t>Tad Fuel</t>
  </si>
  <si>
    <t>K</t>
  </si>
  <si>
    <t>g/m-s</t>
  </si>
  <si>
    <t>g/m^3</t>
  </si>
  <si>
    <t>Test</t>
  </si>
  <si>
    <t>Nozzle ID (mm)</t>
  </si>
  <si>
    <t>Video Air</t>
  </si>
  <si>
    <t>Video Fan</t>
  </si>
  <si>
    <t>Coflow Velocity (cm/s)</t>
  </si>
  <si>
    <t>S.P. Total Fuel Flow (SCCM N2)</t>
  </si>
  <si>
    <t>S.P. Total Fuel Flow (SCCM)</t>
  </si>
  <si>
    <t xml:space="preserve">S.P. Total Mass Flow (mg/s) </t>
  </si>
  <si>
    <t>Smoke Height Nikon (pixel #)</t>
  </si>
  <si>
    <t>Smoke Height Nikon (mm)</t>
  </si>
  <si>
    <t>Test Matrix</t>
  </si>
  <si>
    <t>Air Flow</t>
  </si>
  <si>
    <t>100% Propylene</t>
  </si>
  <si>
    <t xml:space="preserve">S.P. HC Mass Flow (mg/s) </t>
  </si>
  <si>
    <t>S.P. HC Flow (SCCM)</t>
  </si>
  <si>
    <t>Fuel Jet Exit Velocity (cm/s)</t>
  </si>
  <si>
    <t>Re</t>
  </si>
  <si>
    <t>(Air Viscosity)</t>
  </si>
  <si>
    <t>(Fuel Viscosity)</t>
  </si>
  <si>
    <t>(g/m-s)</t>
  </si>
  <si>
    <t>Re/Zst</t>
  </si>
  <si>
    <t>Tad</t>
  </si>
  <si>
    <t>SH/d</t>
  </si>
  <si>
    <t>90L</t>
  </si>
  <si>
    <t>(Amb. Air Visc.)</t>
  </si>
  <si>
    <t>mf/Zst</t>
  </si>
  <si>
    <t>Tform</t>
  </si>
  <si>
    <t>Toxid</t>
  </si>
  <si>
    <t>Tres</t>
  </si>
  <si>
    <t>m^2/s</t>
  </si>
  <si>
    <t>Tform/Toxid</t>
  </si>
  <si>
    <t>Fuel Density</t>
  </si>
  <si>
    <t>m/g-s</t>
  </si>
  <si>
    <t>m</t>
  </si>
  <si>
    <t>KC-135</t>
  </si>
  <si>
    <t>ZYG Shot</t>
  </si>
  <si>
    <t>u_a/u_f</t>
  </si>
  <si>
    <t>SP</t>
  </si>
  <si>
    <t>Fuel Viscosity</t>
  </si>
  <si>
    <t>Radius</t>
  </si>
  <si>
    <t>Fuel Rate</t>
  </si>
  <si>
    <t>m/s</t>
  </si>
  <si>
    <t>Net K. Viscosity</t>
  </si>
  <si>
    <t>STS 83 &amp; 94</t>
  </si>
  <si>
    <t>Ethylene Avg</t>
  </si>
  <si>
    <t>Propane Avg.</t>
  </si>
  <si>
    <t>u_a/2u_f</t>
  </si>
  <si>
    <t>Mass Flow</t>
  </si>
  <si>
    <t>m2/s</t>
  </si>
  <si>
    <t>visc-air,Roper</t>
  </si>
  <si>
    <t>MWf</t>
  </si>
  <si>
    <t>g/mol</t>
  </si>
  <si>
    <t>TP</t>
  </si>
  <si>
    <t>#</t>
  </si>
  <si>
    <t>E16-1</t>
  </si>
  <si>
    <t>E16-2</t>
  </si>
  <si>
    <t>E16-3</t>
  </si>
  <si>
    <t>E16-4</t>
  </si>
  <si>
    <t>E16-5</t>
  </si>
  <si>
    <t>E7-1</t>
  </si>
  <si>
    <t>P16-1</t>
  </si>
  <si>
    <t>P16-2</t>
  </si>
  <si>
    <t>P16-3</t>
  </si>
  <si>
    <t>P7-1</t>
  </si>
  <si>
    <t>P7-2</t>
  </si>
  <si>
    <t>P7-3</t>
  </si>
  <si>
    <t>75P16-1</t>
  </si>
  <si>
    <t>75P16-2</t>
  </si>
  <si>
    <t>75P16-3</t>
  </si>
  <si>
    <t>75P16-4</t>
  </si>
  <si>
    <t>75P16-5</t>
  </si>
  <si>
    <t>75P16-6</t>
  </si>
  <si>
    <t>75P16-7</t>
  </si>
  <si>
    <t>75P16-8</t>
  </si>
  <si>
    <t>75P16-9</t>
  </si>
  <si>
    <t>75P16-10</t>
  </si>
  <si>
    <t>75P7-1</t>
  </si>
  <si>
    <t>75P7-2</t>
  </si>
  <si>
    <t>75P7-3</t>
  </si>
  <si>
    <t>75P7-4</t>
  </si>
  <si>
    <t>50P16-1</t>
  </si>
  <si>
    <t>50P16-2</t>
  </si>
  <si>
    <t>50P16-3</t>
  </si>
  <si>
    <t>50P16-4</t>
  </si>
  <si>
    <t>50P16-5</t>
  </si>
  <si>
    <t>50P16-6</t>
  </si>
  <si>
    <t>50P16-7</t>
  </si>
  <si>
    <t>P16-4</t>
  </si>
  <si>
    <t>P16-5</t>
  </si>
  <si>
    <t>P16-6</t>
  </si>
  <si>
    <t>P16-7</t>
  </si>
  <si>
    <t>P16-8</t>
  </si>
  <si>
    <t>P16-9</t>
  </si>
  <si>
    <t>P16-10</t>
  </si>
  <si>
    <t>P7-4</t>
  </si>
  <si>
    <t>P7-5</t>
  </si>
  <si>
    <t>P7-6</t>
  </si>
  <si>
    <t>P7-7</t>
  </si>
  <si>
    <t>P7-8</t>
  </si>
  <si>
    <t>P4-1</t>
  </si>
  <si>
    <t>P4-2</t>
  </si>
  <si>
    <t>P4-3</t>
  </si>
  <si>
    <t>P4-4</t>
  </si>
  <si>
    <t>date</t>
  </si>
  <si>
    <t>GMT</t>
  </si>
  <si>
    <t>ignite</t>
  </si>
  <si>
    <t>flame off</t>
  </si>
  <si>
    <t>data</t>
  </si>
  <si>
    <t>Ku LOS</t>
  </si>
  <si>
    <t>MWmix</t>
  </si>
  <si>
    <t>Xf</t>
  </si>
  <si>
    <t>smk pt</t>
  </si>
  <si>
    <t>uair</t>
  </si>
  <si>
    <t>ufuel</t>
  </si>
  <si>
    <t>mdotburner</t>
  </si>
  <si>
    <t>mdotHC</t>
  </si>
  <si>
    <t>2 ufuel</t>
  </si>
  <si>
    <t>uair/2ufuel</t>
  </si>
  <si>
    <t>length</t>
  </si>
  <si>
    <t>width</t>
  </si>
  <si>
    <t>flame w</t>
  </si>
  <si>
    <t>Peter's 2nd Attempt</t>
  </si>
  <si>
    <t>Distance, mm</t>
  </si>
  <si>
    <t>Slope, mm</t>
  </si>
  <si>
    <t>Intercept, mm</t>
  </si>
  <si>
    <t>Source</t>
  </si>
  <si>
    <t>x264, DVD</t>
  </si>
  <si>
    <t>Day of Year</t>
  </si>
  <si>
    <t>x264, DVCAM</t>
  </si>
  <si>
    <t>PNG</t>
  </si>
  <si>
    <t>Iu</t>
  </si>
  <si>
    <t>z0</t>
  </si>
  <si>
    <t>HC Density</t>
  </si>
  <si>
    <t>Tres(reduced)</t>
  </si>
  <si>
    <t>ms</t>
  </si>
  <si>
    <t>uf/air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</si>
</sst>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h:mm:ss;@"/>
    <numFmt numFmtId="165" formatCode="000"/>
    <numFmt numFmtId="166" formatCode="hh:mm:ss"/>
    <numFmt numFmtId="167" formatCode="0.0"/>
    <numFmt numFmtId="168" formatCode="0.000"/>
    <numFmt numFmtId="169" formatCode="0.0000"/>
    <numFmt numFmtId="170" formatCode="0.000E+00"/>
  </numFmts>
  <fonts count="9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9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31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3"/>
        <bgColor indexed="26"/>
      </patternFill>
    </fill>
    <fill>
      <patternFill patternType="solid">
        <fgColor indexed="10"/>
        <bgColor indexed="35"/>
      </patternFill>
    </fill>
    <fill>
      <patternFill patternType="solid">
        <fgColor indexed="14"/>
        <bgColor indexed="35"/>
      </patternFill>
    </fill>
    <fill>
      <patternFill patternType="solid">
        <fgColor indexed="51"/>
        <bgColor indexed="13"/>
      </patternFill>
    </fill>
    <fill>
      <patternFill patternType="solid">
        <fgColor indexed="15"/>
        <bgColor indexed="35"/>
      </patternFill>
    </fill>
    <fill>
      <patternFill patternType="solid">
        <fgColor indexed="22"/>
        <bgColor indexed="31"/>
      </patternFill>
    </fill>
    <fill>
      <patternFill patternType="solid">
        <fgColor indexed="13"/>
        <bgColor indexed="35"/>
      </patternFill>
    </fill>
    <fill>
      <patternFill patternType="solid">
        <fgColor indexed="22"/>
        <bgColor indexed="35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35"/>
      </patternFill>
    </fill>
    <fill>
      <patternFill patternType="solid">
        <fgColor indexed="11"/>
        <bgColor indexed="35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8"/>
      </bottom>
      <diagonal/>
    </border>
  </borders>
  <cellStyleXfs count="2">
    <xf numFmtId="0" fontId="0" fillId="0" borderId="0"/>
    <xf numFmtId="0" fontId="1" fillId="0" borderId="0"/>
  </cellStyleXfs>
  <cellXfs count="280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0" xfId="1" applyBorder="1"/>
    <xf numFmtId="0" fontId="1" fillId="0" borderId="5" xfId="1" applyBorder="1"/>
    <xf numFmtId="0" fontId="1" fillId="0" borderId="6" xfId="1" applyFont="1" applyBorder="1"/>
    <xf numFmtId="0" fontId="1" fillId="0" borderId="7" xfId="1" applyBorder="1"/>
    <xf numFmtId="0" fontId="1" fillId="0" borderId="8" xfId="1" applyBorder="1"/>
    <xf numFmtId="0" fontId="1" fillId="0" borderId="0" xfId="1" applyFill="1" applyBorder="1"/>
    <xf numFmtId="0" fontId="1" fillId="2" borderId="0" xfId="1" applyFont="1" applyFill="1" applyBorder="1"/>
    <xf numFmtId="2" fontId="1" fillId="0" borderId="0" xfId="1" applyNumberFormat="1" applyBorder="1"/>
    <xf numFmtId="0" fontId="1" fillId="0" borderId="9" xfId="1" applyFont="1" applyBorder="1" applyAlignment="1">
      <alignment horizontal="center" vertical="center"/>
    </xf>
    <xf numFmtId="164" fontId="1" fillId="0" borderId="10" xfId="1" applyNumberFormat="1" applyFont="1" applyFill="1" applyBorder="1" applyAlignment="1">
      <alignment horizontal="center" vertical="center"/>
    </xf>
    <xf numFmtId="164" fontId="1" fillId="0" borderId="11" xfId="1" applyNumberFormat="1" applyFont="1" applyFill="1" applyBorder="1" applyAlignment="1">
      <alignment horizontal="center" vertical="center"/>
    </xf>
    <xf numFmtId="164" fontId="1" fillId="0" borderId="12" xfId="1" applyNumberFormat="1" applyFont="1" applyFill="1" applyBorder="1" applyAlignment="1">
      <alignment horizontal="center" vertical="center"/>
    </xf>
    <xf numFmtId="0" fontId="1" fillId="0" borderId="0" xfId="1" applyFont="1"/>
    <xf numFmtId="0" fontId="1" fillId="0" borderId="10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1" applyFont="1" applyBorder="1" applyAlignment="1">
      <alignment horizontal="center" vertical="center"/>
    </xf>
    <xf numFmtId="0" fontId="1" fillId="3" borderId="10" xfId="1" applyFont="1" applyFill="1" applyBorder="1" applyAlignment="1">
      <alignment horizontal="center" vertical="center"/>
    </xf>
    <xf numFmtId="1" fontId="1" fillId="0" borderId="10" xfId="1" applyNumberFormat="1" applyFont="1" applyFill="1" applyBorder="1" applyAlignment="1">
      <alignment horizontal="center" vertical="center"/>
    </xf>
    <xf numFmtId="0" fontId="1" fillId="4" borderId="10" xfId="1" applyFont="1" applyFill="1" applyBorder="1" applyAlignment="1">
      <alignment horizontal="center" vertical="center"/>
    </xf>
    <xf numFmtId="0" fontId="1" fillId="3" borderId="11" xfId="1" applyFont="1" applyFill="1" applyBorder="1" applyAlignment="1">
      <alignment horizontal="center" vertical="center"/>
    </xf>
    <xf numFmtId="166" fontId="1" fillId="0" borderId="12" xfId="1" applyNumberFormat="1" applyFont="1" applyFill="1" applyBorder="1" applyAlignment="1">
      <alignment horizontal="center" vertical="center"/>
    </xf>
    <xf numFmtId="166" fontId="1" fillId="0" borderId="10" xfId="1" applyNumberFormat="1" applyFont="1" applyFill="1" applyBorder="1" applyAlignment="1">
      <alignment horizontal="center" vertical="center"/>
    </xf>
    <xf numFmtId="0" fontId="1" fillId="0" borderId="7" xfId="1" applyFont="1" applyBorder="1"/>
    <xf numFmtId="165" fontId="3" fillId="5" borderId="11" xfId="1" applyNumberFormat="1" applyFont="1" applyFill="1" applyBorder="1" applyAlignment="1">
      <alignment horizontal="center" vertical="center"/>
    </xf>
    <xf numFmtId="1" fontId="1" fillId="0" borderId="11" xfId="1" applyNumberFormat="1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1" fillId="4" borderId="11" xfId="1" applyFont="1" applyFill="1" applyBorder="1" applyAlignment="1">
      <alignment horizontal="center" vertical="center"/>
    </xf>
    <xf numFmtId="165" fontId="3" fillId="5" borderId="10" xfId="1" applyNumberFormat="1" applyFont="1" applyFill="1" applyBorder="1" applyAlignment="1">
      <alignment horizontal="center" vertical="center"/>
    </xf>
    <xf numFmtId="164" fontId="1" fillId="0" borderId="10" xfId="1" applyNumberFormat="1" applyFont="1" applyFill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/>
    </xf>
    <xf numFmtId="165" fontId="3" fillId="5" borderId="12" xfId="1" applyNumberFormat="1" applyFont="1" applyFill="1" applyBorder="1" applyAlignment="1">
      <alignment horizontal="center" vertical="center"/>
    </xf>
    <xf numFmtId="1" fontId="1" fillId="0" borderId="12" xfId="1" applyNumberFormat="1" applyFont="1" applyFill="1" applyBorder="1" applyAlignment="1">
      <alignment horizontal="center" vertical="center"/>
    </xf>
    <xf numFmtId="0" fontId="1" fillId="4" borderId="12" xfId="1" applyFont="1" applyFill="1" applyBorder="1" applyAlignment="1">
      <alignment horizontal="center" vertical="center"/>
    </xf>
    <xf numFmtId="0" fontId="1" fillId="3" borderId="12" xfId="1" applyFont="1" applyFill="1" applyBorder="1" applyAlignment="1">
      <alignment horizontal="center" vertical="center"/>
    </xf>
    <xf numFmtId="165" fontId="3" fillId="6" borderId="12" xfId="1" applyNumberFormat="1" applyFont="1" applyFill="1" applyBorder="1" applyAlignment="1">
      <alignment horizontal="center" vertical="center"/>
    </xf>
    <xf numFmtId="165" fontId="3" fillId="4" borderId="10" xfId="1" applyNumberFormat="1" applyFont="1" applyFill="1" applyBorder="1" applyAlignment="1">
      <alignment horizontal="center" vertical="center"/>
    </xf>
    <xf numFmtId="0" fontId="1" fillId="7" borderId="11" xfId="1" applyFont="1" applyFill="1" applyBorder="1" applyAlignment="1">
      <alignment horizontal="center" vertical="center"/>
    </xf>
    <xf numFmtId="165" fontId="3" fillId="4" borderId="12" xfId="1" applyNumberFormat="1" applyFont="1" applyFill="1" applyBorder="1" applyAlignment="1">
      <alignment horizontal="center" vertical="center"/>
    </xf>
    <xf numFmtId="164" fontId="4" fillId="0" borderId="10" xfId="1" applyNumberFormat="1" applyFont="1" applyFill="1" applyBorder="1" applyAlignment="1">
      <alignment horizontal="center" vertical="center"/>
    </xf>
    <xf numFmtId="164" fontId="4" fillId="0" borderId="10" xfId="1" applyNumberFormat="1" applyFont="1" applyFill="1" applyBorder="1" applyAlignment="1">
      <alignment horizontal="center" vertical="center" wrapText="1"/>
    </xf>
    <xf numFmtId="1" fontId="4" fillId="0" borderId="10" xfId="1" applyNumberFormat="1" applyFont="1" applyFill="1" applyBorder="1" applyAlignment="1">
      <alignment horizontal="center" vertical="center" wrapText="1"/>
    </xf>
    <xf numFmtId="0" fontId="1" fillId="7" borderId="10" xfId="1" applyFont="1" applyFill="1" applyBorder="1" applyAlignment="1">
      <alignment horizontal="center" vertical="center"/>
    </xf>
    <xf numFmtId="165" fontId="3" fillId="6" borderId="10" xfId="1" applyNumberFormat="1" applyFont="1" applyFill="1" applyBorder="1" applyAlignment="1">
      <alignment horizontal="center" vertical="center"/>
    </xf>
    <xf numFmtId="0" fontId="1" fillId="8" borderId="12" xfId="1" applyFont="1" applyFill="1" applyBorder="1" applyAlignment="1">
      <alignment horizontal="center" vertical="center"/>
    </xf>
    <xf numFmtId="0" fontId="1" fillId="0" borderId="10" xfId="1" applyFont="1" applyBorder="1" applyAlignment="1">
      <alignment horizontal="center" vertical="center" wrapText="1"/>
    </xf>
    <xf numFmtId="0" fontId="3" fillId="9" borderId="10" xfId="1" applyFont="1" applyFill="1" applyBorder="1" applyAlignment="1">
      <alignment horizontal="center" vertical="center"/>
    </xf>
    <xf numFmtId="166" fontId="1" fillId="0" borderId="10" xfId="1" applyNumberFormat="1" applyFont="1" applyFill="1" applyBorder="1" applyAlignment="1">
      <alignment horizontal="center" vertical="center" wrapText="1"/>
    </xf>
    <xf numFmtId="0" fontId="3" fillId="10" borderId="10" xfId="1" applyFont="1" applyFill="1" applyBorder="1" applyAlignment="1">
      <alignment horizontal="center" vertical="center"/>
    </xf>
    <xf numFmtId="0" fontId="1" fillId="8" borderId="10" xfId="1" applyFont="1" applyFill="1" applyBorder="1" applyAlignment="1">
      <alignment horizontal="center" vertical="center"/>
    </xf>
    <xf numFmtId="0" fontId="3" fillId="11" borderId="10" xfId="1" applyFont="1" applyFill="1" applyBorder="1" applyAlignment="1">
      <alignment horizontal="center" vertical="center"/>
    </xf>
    <xf numFmtId="0" fontId="3" fillId="12" borderId="10" xfId="1" applyFont="1" applyFill="1" applyBorder="1" applyAlignment="1">
      <alignment horizontal="center" vertical="center"/>
    </xf>
    <xf numFmtId="0" fontId="1" fillId="13" borderId="10" xfId="1" applyFont="1" applyFill="1" applyBorder="1" applyAlignment="1">
      <alignment horizontal="center" vertical="center"/>
    </xf>
    <xf numFmtId="0" fontId="3" fillId="12" borderId="12" xfId="1" applyFont="1" applyFill="1" applyBorder="1" applyAlignment="1">
      <alignment horizontal="center" vertical="center"/>
    </xf>
    <xf numFmtId="0" fontId="1" fillId="13" borderId="12" xfId="1" applyFont="1" applyFill="1" applyBorder="1" applyAlignment="1">
      <alignment horizontal="center" vertical="center"/>
    </xf>
    <xf numFmtId="0" fontId="1" fillId="6" borderId="10" xfId="1" applyFont="1" applyFill="1" applyBorder="1" applyAlignment="1">
      <alignment horizontal="center" vertical="center"/>
    </xf>
    <xf numFmtId="0" fontId="1" fillId="6" borderId="12" xfId="1" applyFont="1" applyFill="1" applyBorder="1" applyAlignment="1">
      <alignment horizontal="center" vertical="center"/>
    </xf>
    <xf numFmtId="0" fontId="1" fillId="7" borderId="9" xfId="1" applyFont="1" applyFill="1" applyBorder="1" applyAlignment="1">
      <alignment horizontal="center" vertical="center"/>
    </xf>
    <xf numFmtId="1" fontId="1" fillId="0" borderId="17" xfId="1" applyNumberFormat="1" applyFont="1" applyFill="1" applyBorder="1" applyAlignment="1">
      <alignment horizontal="center" vertical="center"/>
    </xf>
    <xf numFmtId="164" fontId="1" fillId="0" borderId="18" xfId="1" applyNumberFormat="1" applyFont="1" applyFill="1" applyBorder="1" applyAlignment="1">
      <alignment horizontal="center" vertical="center"/>
    </xf>
    <xf numFmtId="164" fontId="1" fillId="0" borderId="0" xfId="1" applyNumberFormat="1" applyFont="1" applyFill="1" applyBorder="1" applyAlignment="1">
      <alignment horizontal="center" vertical="center"/>
    </xf>
    <xf numFmtId="164" fontId="1" fillId="0" borderId="17" xfId="1" applyNumberFormat="1" applyFont="1" applyFill="1" applyBorder="1" applyAlignment="1">
      <alignment horizontal="center" vertical="center"/>
    </xf>
    <xf numFmtId="1" fontId="1" fillId="0" borderId="19" xfId="1" applyNumberFormat="1" applyFont="1" applyFill="1" applyBorder="1" applyAlignment="1">
      <alignment horizontal="center" vertical="center"/>
    </xf>
    <xf numFmtId="1" fontId="1" fillId="0" borderId="18" xfId="1" applyNumberFormat="1" applyFont="1" applyFill="1" applyBorder="1" applyAlignment="1">
      <alignment horizontal="center" vertical="center"/>
    </xf>
    <xf numFmtId="0" fontId="3" fillId="14" borderId="9" xfId="1" applyFont="1" applyFill="1" applyBorder="1" applyAlignment="1">
      <alignment horizontal="center" vertical="center"/>
    </xf>
    <xf numFmtId="164" fontId="1" fillId="0" borderId="9" xfId="1" applyNumberFormat="1" applyFont="1" applyFill="1" applyBorder="1" applyAlignment="1">
      <alignment horizontal="center" vertical="center"/>
    </xf>
    <xf numFmtId="166" fontId="1" fillId="0" borderId="9" xfId="1" applyNumberFormat="1" applyFont="1" applyFill="1" applyBorder="1" applyAlignment="1">
      <alignment horizontal="center" vertical="center"/>
    </xf>
    <xf numFmtId="0" fontId="3" fillId="15" borderId="9" xfId="1" applyFont="1" applyFill="1" applyBorder="1" applyAlignment="1">
      <alignment horizontal="center" vertical="center"/>
    </xf>
    <xf numFmtId="0" fontId="1" fillId="16" borderId="15" xfId="0" applyFont="1" applyFill="1" applyBorder="1" applyAlignment="1">
      <alignment horizontal="center" vertical="center"/>
    </xf>
    <xf numFmtId="0" fontId="1" fillId="3" borderId="9" xfId="1" applyFont="1" applyFill="1" applyBorder="1" applyAlignment="1">
      <alignment horizontal="center" vertical="center"/>
    </xf>
    <xf numFmtId="20" fontId="1" fillId="0" borderId="10" xfId="1" applyNumberFormat="1" applyFont="1" applyBorder="1" applyAlignment="1">
      <alignment horizontal="center" vertical="center"/>
    </xf>
    <xf numFmtId="0" fontId="3" fillId="17" borderId="9" xfId="1" applyFont="1" applyFill="1" applyBorder="1" applyAlignment="1">
      <alignment horizontal="center" vertical="center"/>
    </xf>
    <xf numFmtId="0" fontId="3" fillId="18" borderId="9" xfId="1" applyFont="1" applyFill="1" applyBorder="1" applyAlignment="1">
      <alignment horizontal="center" vertical="center"/>
    </xf>
    <xf numFmtId="164" fontId="1" fillId="0" borderId="0" xfId="1" applyNumberFormat="1" applyFont="1"/>
    <xf numFmtId="0" fontId="1" fillId="13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0" borderId="0" xfId="1" applyFont="1" applyAlignment="1">
      <alignment horizontal="center"/>
    </xf>
    <xf numFmtId="164" fontId="1" fillId="0" borderId="15" xfId="0" applyNumberFormat="1" applyFont="1" applyFill="1" applyBorder="1" applyAlignment="1">
      <alignment horizontal="center" vertical="center"/>
    </xf>
    <xf numFmtId="0" fontId="1" fillId="0" borderId="4" xfId="1" applyFont="1" applyBorder="1"/>
    <xf numFmtId="0" fontId="1" fillId="0" borderId="0" xfId="1" applyFont="1" applyAlignment="1">
      <alignment wrapText="1"/>
    </xf>
    <xf numFmtId="49" fontId="1" fillId="0" borderId="0" xfId="1" applyNumberFormat="1" applyFont="1"/>
    <xf numFmtId="0" fontId="1" fillId="0" borderId="0" xfId="1" applyFont="1" applyAlignment="1">
      <alignment horizontal="center" wrapText="1"/>
    </xf>
    <xf numFmtId="164" fontId="4" fillId="0" borderId="0" xfId="1" applyNumberFormat="1" applyFont="1" applyAlignment="1"/>
    <xf numFmtId="164" fontId="3" fillId="0" borderId="20" xfId="1" applyNumberFormat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5" fillId="0" borderId="21" xfId="1" applyFont="1" applyBorder="1" applyAlignment="1">
      <alignment horizontal="center"/>
    </xf>
    <xf numFmtId="0" fontId="3" fillId="0" borderId="20" xfId="1" applyFont="1" applyBorder="1" applyAlignment="1">
      <alignment vertical="center"/>
    </xf>
    <xf numFmtId="2" fontId="3" fillId="0" borderId="21" xfId="1" applyNumberFormat="1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0" fontId="3" fillId="0" borderId="22" xfId="1" applyFont="1" applyBorder="1" applyAlignment="1">
      <alignment horizontal="center"/>
    </xf>
    <xf numFmtId="0" fontId="3" fillId="0" borderId="22" xfId="1" applyFont="1" applyBorder="1" applyAlignment="1">
      <alignment vertical="center"/>
    </xf>
    <xf numFmtId="2" fontId="3" fillId="0" borderId="22" xfId="1" applyNumberFormat="1" applyFont="1" applyBorder="1" applyAlignment="1">
      <alignment horizontal="center"/>
    </xf>
    <xf numFmtId="167" fontId="1" fillId="0" borderId="15" xfId="0" applyNumberFormat="1" applyFont="1" applyFill="1" applyBorder="1" applyAlignment="1">
      <alignment horizontal="center" vertical="center"/>
    </xf>
    <xf numFmtId="168" fontId="1" fillId="0" borderId="15" xfId="0" applyNumberFormat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0" xfId="1" applyFont="1" applyFill="1" applyBorder="1" applyAlignment="1">
      <alignment horizontal="center" vertical="center"/>
    </xf>
    <xf numFmtId="0" fontId="1" fillId="5" borderId="12" xfId="1" applyFont="1" applyFill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0" xfId="1" applyFont="1" applyAlignment="1">
      <alignment horizontal="left"/>
    </xf>
    <xf numFmtId="2" fontId="1" fillId="0" borderId="0" xfId="1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1" fontId="1" fillId="0" borderId="10" xfId="1" applyNumberFormat="1" applyFont="1" applyBorder="1" applyAlignment="1">
      <alignment horizontal="center" vertical="center"/>
    </xf>
    <xf numFmtId="11" fontId="1" fillId="0" borderId="23" xfId="1" applyNumberFormat="1" applyFont="1" applyBorder="1" applyAlignment="1">
      <alignment horizontal="center" vertical="center"/>
    </xf>
    <xf numFmtId="0" fontId="1" fillId="0" borderId="0" xfId="1" applyFont="1" applyBorder="1"/>
    <xf numFmtId="11" fontId="1" fillId="0" borderId="0" xfId="1" applyNumberFormat="1" applyBorder="1"/>
    <xf numFmtId="0" fontId="1" fillId="0" borderId="0" xfId="1" applyFont="1" applyBorder="1" applyAlignment="1">
      <alignment horizontal="center" vertical="center"/>
    </xf>
    <xf numFmtId="11" fontId="1" fillId="0" borderId="0" xfId="1" applyNumberFormat="1" applyFont="1" applyBorder="1"/>
    <xf numFmtId="11" fontId="1" fillId="0" borderId="7" xfId="1" applyNumberFormat="1" applyBorder="1"/>
    <xf numFmtId="0" fontId="3" fillId="0" borderId="0" xfId="1" applyFont="1" applyAlignment="1">
      <alignment horizontal="center"/>
    </xf>
    <xf numFmtId="0" fontId="3" fillId="0" borderId="0" xfId="1" applyFont="1" applyBorder="1" applyAlignment="1">
      <alignment horizontal="center"/>
    </xf>
    <xf numFmtId="11" fontId="1" fillId="0" borderId="0" xfId="1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1" fillId="0" borderId="25" xfId="1" applyFont="1" applyBorder="1" applyAlignment="1">
      <alignment horizontal="center" vertical="center"/>
    </xf>
    <xf numFmtId="164" fontId="0" fillId="0" borderId="15" xfId="0" applyNumberFormat="1" applyFont="1" applyFill="1" applyBorder="1" applyAlignment="1">
      <alignment horizontal="center" vertical="center"/>
    </xf>
    <xf numFmtId="166" fontId="0" fillId="0" borderId="15" xfId="0" applyNumberFormat="1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1" fillId="0" borderId="11" xfId="1" applyNumberFormat="1" applyFont="1" applyBorder="1" applyAlignment="1">
      <alignment horizontal="center" vertical="center"/>
    </xf>
    <xf numFmtId="11" fontId="1" fillId="0" borderId="11" xfId="1" applyNumberFormat="1" applyFont="1" applyBorder="1" applyAlignment="1">
      <alignment horizontal="center" vertical="center"/>
    </xf>
    <xf numFmtId="2" fontId="1" fillId="0" borderId="15" xfId="0" applyNumberFormat="1" applyFont="1" applyFill="1" applyBorder="1" applyAlignment="1">
      <alignment horizontal="center" vertical="center"/>
    </xf>
    <xf numFmtId="168" fontId="1" fillId="0" borderId="0" xfId="1" applyNumberFormat="1" applyFont="1" applyAlignment="1">
      <alignment horizontal="center" vertical="center"/>
    </xf>
    <xf numFmtId="11" fontId="1" fillId="0" borderId="15" xfId="0" applyNumberFormat="1" applyFont="1" applyFill="1" applyBorder="1" applyAlignment="1">
      <alignment horizontal="center" vertical="center"/>
    </xf>
    <xf numFmtId="167" fontId="1" fillId="0" borderId="26" xfId="0" applyNumberFormat="1" applyFont="1" applyFill="1" applyBorder="1" applyAlignment="1">
      <alignment horizontal="center" vertical="center"/>
    </xf>
    <xf numFmtId="168" fontId="1" fillId="0" borderId="26" xfId="0" applyNumberFormat="1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2" fontId="1" fillId="0" borderId="26" xfId="0" applyNumberFormat="1" applyFont="1" applyFill="1" applyBorder="1" applyAlignment="1">
      <alignment horizontal="center" vertical="center"/>
    </xf>
    <xf numFmtId="11" fontId="1" fillId="0" borderId="26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68" fontId="1" fillId="0" borderId="24" xfId="0" applyNumberFormat="1" applyFont="1" applyFill="1" applyBorder="1" applyAlignment="1">
      <alignment horizontal="center" vertical="center"/>
    </xf>
    <xf numFmtId="49" fontId="1" fillId="0" borderId="15" xfId="1" applyNumberFormat="1" applyFont="1" applyBorder="1"/>
    <xf numFmtId="0" fontId="1" fillId="0" borderId="15" xfId="1" applyFont="1" applyBorder="1"/>
    <xf numFmtId="164" fontId="1" fillId="0" borderId="15" xfId="1" applyNumberFormat="1" applyFont="1" applyBorder="1"/>
    <xf numFmtId="0" fontId="1" fillId="0" borderId="15" xfId="1" applyFont="1" applyBorder="1" applyAlignment="1">
      <alignment horizontal="center"/>
    </xf>
    <xf numFmtId="2" fontId="1" fillId="0" borderId="15" xfId="1" applyNumberFormat="1" applyFont="1" applyBorder="1" applyAlignment="1">
      <alignment horizontal="center"/>
    </xf>
    <xf numFmtId="11" fontId="1" fillId="0" borderId="15" xfId="1" applyNumberFormat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49" fontId="3" fillId="0" borderId="15" xfId="1" applyNumberFormat="1" applyFont="1" applyBorder="1"/>
    <xf numFmtId="0" fontId="1" fillId="0" borderId="15" xfId="1" applyFont="1" applyFill="1" applyBorder="1" applyAlignment="1">
      <alignment horizontal="center" vertical="center"/>
    </xf>
    <xf numFmtId="0" fontId="1" fillId="0" borderId="15" xfId="1" applyFont="1" applyBorder="1" applyAlignment="1">
      <alignment wrapText="1"/>
    </xf>
    <xf numFmtId="164" fontId="1" fillId="0" borderId="15" xfId="1" applyNumberFormat="1" applyFont="1" applyBorder="1" applyAlignment="1">
      <alignment wrapText="1"/>
    </xf>
    <xf numFmtId="49" fontId="1" fillId="0" borderId="15" xfId="1" applyNumberFormat="1" applyFont="1" applyBorder="1" applyAlignment="1">
      <alignment wrapText="1"/>
    </xf>
    <xf numFmtId="0" fontId="1" fillId="0" borderId="15" xfId="1" applyFont="1" applyBorder="1" applyAlignment="1">
      <alignment horizontal="center" wrapText="1"/>
    </xf>
    <xf numFmtId="0" fontId="1" fillId="0" borderId="15" xfId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 vertical="center" wrapText="1"/>
    </xf>
    <xf numFmtId="2" fontId="1" fillId="0" borderId="15" xfId="0" applyNumberFormat="1" applyFont="1" applyBorder="1" applyAlignment="1">
      <alignment horizontal="center" vertical="center" wrapText="1"/>
    </xf>
    <xf numFmtId="0" fontId="3" fillId="0" borderId="27" xfId="1" applyFont="1" applyBorder="1" applyAlignment="1">
      <alignment vertical="center"/>
    </xf>
    <xf numFmtId="2" fontId="3" fillId="0" borderId="26" xfId="0" applyNumberFormat="1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2" fontId="3" fillId="0" borderId="24" xfId="0" applyNumberFormat="1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1" fillId="0" borderId="15" xfId="0" applyNumberFormat="1" applyFont="1" applyFill="1" applyBorder="1" applyAlignment="1">
      <alignment horizontal="center" vertical="center"/>
    </xf>
    <xf numFmtId="0" fontId="1" fillId="0" borderId="26" xfId="0" applyNumberFormat="1" applyFont="1" applyFill="1" applyBorder="1" applyAlignment="1">
      <alignment horizontal="center" vertical="center"/>
    </xf>
    <xf numFmtId="169" fontId="1" fillId="0" borderId="15" xfId="0" applyNumberFormat="1" applyFont="1" applyFill="1" applyBorder="1" applyAlignment="1">
      <alignment horizontal="center" vertical="center"/>
    </xf>
    <xf numFmtId="169" fontId="1" fillId="0" borderId="26" xfId="0" applyNumberFormat="1" applyFont="1" applyFill="1" applyBorder="1" applyAlignment="1">
      <alignment horizontal="center" vertical="center"/>
    </xf>
    <xf numFmtId="0" fontId="1" fillId="4" borderId="0" xfId="1" applyFont="1" applyFill="1" applyBorder="1" applyAlignment="1">
      <alignment horizontal="center" vertical="center"/>
    </xf>
    <xf numFmtId="0" fontId="1" fillId="0" borderId="0" xfId="1" applyFont="1" applyBorder="1" applyAlignment="1">
      <alignment horizontal="center"/>
    </xf>
    <xf numFmtId="0" fontId="1" fillId="0" borderId="0" xfId="1" applyFont="1" applyBorder="1" applyAlignment="1">
      <alignment horizontal="center" wrapText="1"/>
    </xf>
    <xf numFmtId="0" fontId="3" fillId="0" borderId="0" xfId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165" fontId="3" fillId="5" borderId="0" xfId="1" applyNumberFormat="1" applyFont="1" applyFill="1" applyBorder="1" applyAlignment="1">
      <alignment horizontal="center" vertical="center"/>
    </xf>
    <xf numFmtId="0" fontId="1" fillId="3" borderId="0" xfId="1" applyFont="1" applyFill="1" applyBorder="1" applyAlignment="1">
      <alignment horizontal="center" vertical="center"/>
    </xf>
    <xf numFmtId="2" fontId="1" fillId="0" borderId="0" xfId="1" applyNumberFormat="1" applyFont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170" fontId="1" fillId="0" borderId="0" xfId="1" applyNumberFormat="1" applyFont="1" applyBorder="1" applyAlignment="1">
      <alignment horizontal="center" vertical="center"/>
    </xf>
    <xf numFmtId="164" fontId="1" fillId="0" borderId="0" xfId="1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/>
    </xf>
    <xf numFmtId="0" fontId="3" fillId="15" borderId="0" xfId="1" applyFont="1" applyFill="1" applyBorder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 vertical="center"/>
    </xf>
    <xf numFmtId="0" fontId="1" fillId="16" borderId="0" xfId="0" applyFont="1" applyFill="1" applyBorder="1" applyAlignment="1">
      <alignment horizontal="center" vertical="center"/>
    </xf>
    <xf numFmtId="0" fontId="1" fillId="0" borderId="0" xfId="1" applyFont="1" applyBorder="1" applyAlignment="1">
      <alignment horizontal="center" vertical="center" wrapText="1"/>
    </xf>
    <xf numFmtId="20" fontId="1" fillId="0" borderId="0" xfId="1" applyNumberFormat="1" applyFont="1" applyBorder="1" applyAlignment="1">
      <alignment horizontal="center" vertical="center"/>
    </xf>
    <xf numFmtId="0" fontId="1" fillId="8" borderId="0" xfId="1" applyFont="1" applyFill="1" applyBorder="1" applyAlignment="1">
      <alignment horizontal="center" vertical="center"/>
    </xf>
    <xf numFmtId="165" fontId="3" fillId="4" borderId="0" xfId="1" applyNumberFormat="1" applyFont="1" applyFill="1" applyBorder="1" applyAlignment="1">
      <alignment horizontal="center" vertical="center"/>
    </xf>
    <xf numFmtId="0" fontId="1" fillId="7" borderId="0" xfId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 wrapText="1"/>
    </xf>
    <xf numFmtId="165" fontId="3" fillId="6" borderId="0" xfId="1" applyNumberFormat="1" applyFont="1" applyFill="1" applyBorder="1" applyAlignment="1">
      <alignment horizontal="center" vertical="center"/>
    </xf>
    <xf numFmtId="0" fontId="1" fillId="5" borderId="0" xfId="1" applyFont="1" applyFill="1" applyBorder="1" applyAlignment="1">
      <alignment horizontal="center" vertical="center"/>
    </xf>
    <xf numFmtId="0" fontId="3" fillId="17" borderId="0" xfId="1" applyFont="1" applyFill="1" applyBorder="1" applyAlignment="1">
      <alignment horizontal="center" vertical="center"/>
    </xf>
    <xf numFmtId="0" fontId="3" fillId="9" borderId="0" xfId="1" applyFont="1" applyFill="1" applyBorder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 vertical="center" wrapText="1"/>
    </xf>
    <xf numFmtId="0" fontId="3" fillId="10" borderId="0" xfId="1" applyFont="1" applyFill="1" applyBorder="1" applyAlignment="1">
      <alignment horizontal="center" vertical="center"/>
    </xf>
    <xf numFmtId="0" fontId="3" fillId="11" borderId="0" xfId="1" applyFont="1" applyFill="1" applyBorder="1" applyAlignment="1">
      <alignment horizontal="center" vertical="center"/>
    </xf>
    <xf numFmtId="0" fontId="3" fillId="14" borderId="0" xfId="1" applyFont="1" applyFill="1" applyBorder="1" applyAlignment="1">
      <alignment horizontal="center" vertical="center"/>
    </xf>
    <xf numFmtId="0" fontId="3" fillId="12" borderId="0" xfId="1" applyFont="1" applyFill="1" applyBorder="1" applyAlignment="1">
      <alignment horizontal="center" vertical="center"/>
    </xf>
    <xf numFmtId="0" fontId="1" fillId="13" borderId="0" xfId="1" applyFont="1" applyFill="1" applyBorder="1" applyAlignment="1">
      <alignment horizontal="center" vertical="center"/>
    </xf>
    <xf numFmtId="0" fontId="3" fillId="18" borderId="0" xfId="1" applyFont="1" applyFill="1" applyBorder="1" applyAlignment="1">
      <alignment horizontal="center" vertical="center"/>
    </xf>
    <xf numFmtId="164" fontId="1" fillId="0" borderId="0" xfId="1" applyNumberFormat="1" applyFont="1" applyBorder="1"/>
    <xf numFmtId="0" fontId="1" fillId="1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6" fontId="0" fillId="0" borderId="0" xfId="0" applyNumberFormat="1" applyFont="1" applyFill="1" applyBorder="1" applyAlignment="1">
      <alignment horizontal="center" vertical="center"/>
    </xf>
    <xf numFmtId="0" fontId="1" fillId="6" borderId="0" xfId="1" applyFont="1" applyFill="1" applyBorder="1" applyAlignment="1">
      <alignment horizontal="center" vertical="center"/>
    </xf>
    <xf numFmtId="0" fontId="1" fillId="0" borderId="0" xfId="1" applyFont="1" applyBorder="1" applyAlignment="1"/>
    <xf numFmtId="164" fontId="4" fillId="0" borderId="0" xfId="1" applyNumberFormat="1" applyFont="1" applyBorder="1" applyAlignment="1"/>
    <xf numFmtId="164" fontId="1" fillId="0" borderId="0" xfId="1" applyNumberFormat="1" applyFont="1" applyBorder="1" applyAlignment="1"/>
    <xf numFmtId="49" fontId="1" fillId="0" borderId="0" xfId="1" applyNumberFormat="1" applyFont="1" applyBorder="1"/>
    <xf numFmtId="0" fontId="3" fillId="0" borderId="0" xfId="1" applyFont="1" applyBorder="1" applyAlignment="1">
      <alignment horizontal="left"/>
    </xf>
    <xf numFmtId="2" fontId="1" fillId="0" borderId="0" xfId="1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49" fontId="3" fillId="0" borderId="0" xfId="1" applyNumberFormat="1" applyFont="1" applyBorder="1"/>
    <xf numFmtId="0" fontId="1" fillId="0" borderId="0" xfId="1" applyFont="1" applyFill="1" applyBorder="1" applyAlignment="1">
      <alignment horizontal="center" vertical="center"/>
    </xf>
    <xf numFmtId="11" fontId="0" fillId="0" borderId="0" xfId="0" applyNumberFormat="1" applyBorder="1"/>
    <xf numFmtId="0" fontId="1" fillId="0" borderId="0" xfId="1" applyFont="1" applyBorder="1" applyAlignment="1">
      <alignment wrapText="1"/>
    </xf>
    <xf numFmtId="49" fontId="1" fillId="0" borderId="0" xfId="1" applyNumberFormat="1" applyFont="1" applyBorder="1" applyAlignment="1">
      <alignment wrapText="1"/>
    </xf>
    <xf numFmtId="0" fontId="6" fillId="0" borderId="0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1" applyNumberFormat="1" applyFont="1" applyBorder="1" applyAlignment="1">
      <alignment horizontal="center" vertical="center"/>
    </xf>
    <xf numFmtId="49" fontId="3" fillId="0" borderId="28" xfId="1" applyNumberFormat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164" fontId="3" fillId="0" borderId="28" xfId="1" applyNumberFormat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/>
    </xf>
    <xf numFmtId="0" fontId="3" fillId="0" borderId="28" xfId="1" applyFont="1" applyBorder="1" applyAlignment="1">
      <alignment horizontal="center"/>
    </xf>
    <xf numFmtId="0" fontId="3" fillId="0" borderId="28" xfId="1" applyFont="1" applyBorder="1" applyAlignment="1">
      <alignment vertical="center"/>
    </xf>
    <xf numFmtId="2" fontId="3" fillId="0" borderId="28" xfId="1" applyNumberFormat="1" applyFont="1" applyBorder="1" applyAlignment="1">
      <alignment horizontal="center"/>
    </xf>
    <xf numFmtId="0" fontId="1" fillId="0" borderId="28" xfId="1" applyFont="1" applyBorder="1" applyAlignment="1">
      <alignment horizontal="center"/>
    </xf>
    <xf numFmtId="0" fontId="3" fillId="0" borderId="28" xfId="0" applyFont="1" applyBorder="1" applyAlignment="1">
      <alignment horizontal="center" vertical="center" wrapText="1"/>
    </xf>
    <xf numFmtId="0" fontId="1" fillId="0" borderId="28" xfId="1" applyFont="1" applyBorder="1"/>
    <xf numFmtId="49" fontId="3" fillId="0" borderId="25" xfId="1" applyNumberFormat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164" fontId="3" fillId="0" borderId="25" xfId="1" applyNumberFormat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/>
    </xf>
    <xf numFmtId="0" fontId="5" fillId="0" borderId="25" xfId="1" applyFont="1" applyBorder="1" applyAlignment="1">
      <alignment horizontal="center"/>
    </xf>
    <xf numFmtId="0" fontId="3" fillId="0" borderId="25" xfId="1" applyFont="1" applyBorder="1" applyAlignment="1">
      <alignment vertical="center"/>
    </xf>
    <xf numFmtId="2" fontId="3" fillId="0" borderId="25" xfId="1" applyNumberFormat="1" applyFont="1" applyBorder="1" applyAlignment="1">
      <alignment horizontal="center"/>
    </xf>
    <xf numFmtId="0" fontId="3" fillId="0" borderId="25" xfId="0" applyFont="1" applyBorder="1" applyAlignment="1">
      <alignment horizontal="center" vertical="center" wrapText="1"/>
    </xf>
    <xf numFmtId="0" fontId="1" fillId="0" borderId="25" xfId="1" applyFont="1" applyBorder="1" applyAlignment="1">
      <alignment horizontal="center"/>
    </xf>
    <xf numFmtId="0" fontId="1" fillId="0" borderId="25" xfId="1" applyFont="1" applyBorder="1"/>
    <xf numFmtId="0" fontId="3" fillId="12" borderId="28" xfId="1" applyFont="1" applyFill="1" applyBorder="1" applyAlignment="1">
      <alignment horizontal="center" vertical="center"/>
    </xf>
    <xf numFmtId="164" fontId="1" fillId="0" borderId="28" xfId="1" applyNumberFormat="1" applyFont="1" applyFill="1" applyBorder="1" applyAlignment="1">
      <alignment horizontal="center" vertical="center"/>
    </xf>
    <xf numFmtId="166" fontId="1" fillId="0" borderId="28" xfId="1" applyNumberFormat="1" applyFont="1" applyFill="1" applyBorder="1" applyAlignment="1">
      <alignment horizontal="center" vertical="center"/>
    </xf>
    <xf numFmtId="0" fontId="1" fillId="13" borderId="28" xfId="1" applyFont="1" applyFill="1" applyBorder="1" applyAlignment="1">
      <alignment horizontal="center" vertical="center"/>
    </xf>
    <xf numFmtId="0" fontId="1" fillId="6" borderId="28" xfId="1" applyFont="1" applyFill="1" applyBorder="1" applyAlignment="1">
      <alignment horizontal="center" vertical="center"/>
    </xf>
    <xf numFmtId="0" fontId="1" fillId="4" borderId="28" xfId="1" applyFont="1" applyFill="1" applyBorder="1" applyAlignment="1">
      <alignment horizontal="center" vertical="center"/>
    </xf>
    <xf numFmtId="0" fontId="1" fillId="0" borderId="28" xfId="1" applyFont="1" applyBorder="1" applyAlignment="1">
      <alignment horizontal="center" vertical="center"/>
    </xf>
    <xf numFmtId="2" fontId="1" fillId="0" borderId="28" xfId="1" applyNumberFormat="1" applyFont="1" applyBorder="1" applyAlignment="1">
      <alignment horizontal="center" vertical="center"/>
    </xf>
    <xf numFmtId="11" fontId="1" fillId="0" borderId="28" xfId="1" applyNumberFormat="1" applyFont="1" applyBorder="1" applyAlignment="1">
      <alignment horizontal="center" vertical="center"/>
    </xf>
    <xf numFmtId="0" fontId="1" fillId="0" borderId="28" xfId="0" applyNumberFormat="1" applyFont="1" applyFill="1" applyBorder="1" applyAlignment="1">
      <alignment horizontal="center" vertical="center"/>
    </xf>
    <xf numFmtId="0" fontId="3" fillId="0" borderId="25" xfId="1" applyFont="1" applyFill="1" applyBorder="1" applyAlignment="1">
      <alignment horizontal="center"/>
    </xf>
    <xf numFmtId="0" fontId="3" fillId="0" borderId="28" xfId="1" applyFont="1" applyFill="1" applyBorder="1" applyAlignment="1">
      <alignment horizontal="center"/>
    </xf>
    <xf numFmtId="0" fontId="1" fillId="0" borderId="28" xfId="1" applyFont="1" applyFill="1" applyBorder="1" applyAlignment="1">
      <alignment horizontal="center" vertical="center"/>
    </xf>
    <xf numFmtId="0" fontId="1" fillId="0" borderId="28" xfId="1" applyNumberFormat="1" applyFont="1" applyBorder="1" applyAlignment="1">
      <alignment horizontal="center" vertical="center"/>
    </xf>
    <xf numFmtId="0" fontId="0" fillId="0" borderId="0" xfId="0" applyBorder="1"/>
    <xf numFmtId="0" fontId="1" fillId="0" borderId="0" xfId="1" applyBorder="1" applyAlignment="1">
      <alignment horizontal="center"/>
    </xf>
    <xf numFmtId="0" fontId="1" fillId="20" borderId="0" xfId="1" applyFont="1" applyFill="1" applyBorder="1" applyAlignment="1">
      <alignment horizontal="center"/>
    </xf>
    <xf numFmtId="0" fontId="1" fillId="20" borderId="0" xfId="1" applyFont="1" applyFill="1" applyBorder="1"/>
    <xf numFmtId="0" fontId="3" fillId="20" borderId="25" xfId="0" applyFont="1" applyFill="1" applyBorder="1" applyAlignment="1">
      <alignment horizontal="center" vertical="center" wrapText="1"/>
    </xf>
    <xf numFmtId="2" fontId="3" fillId="20" borderId="25" xfId="0" applyNumberFormat="1" applyFont="1" applyFill="1" applyBorder="1" applyAlignment="1">
      <alignment horizontal="center" vertical="center"/>
    </xf>
    <xf numFmtId="0" fontId="3" fillId="20" borderId="25" xfId="1" applyFont="1" applyFill="1" applyBorder="1" applyAlignment="1">
      <alignment horizontal="center"/>
    </xf>
    <xf numFmtId="0" fontId="1" fillId="20" borderId="28" xfId="0" applyFont="1" applyFill="1" applyBorder="1" applyAlignment="1">
      <alignment horizontal="center" vertical="center"/>
    </xf>
    <xf numFmtId="2" fontId="1" fillId="20" borderId="28" xfId="0" applyNumberFormat="1" applyFont="1" applyFill="1" applyBorder="1" applyAlignment="1">
      <alignment horizontal="center" vertical="center"/>
    </xf>
    <xf numFmtId="0" fontId="1" fillId="20" borderId="28" xfId="1" applyFont="1" applyFill="1" applyBorder="1" applyAlignment="1">
      <alignment horizontal="center"/>
    </xf>
    <xf numFmtId="0" fontId="1" fillId="20" borderId="0" xfId="1" applyFont="1" applyFill="1" applyBorder="1" applyAlignment="1">
      <alignment horizontal="center" vertical="center"/>
    </xf>
    <xf numFmtId="0" fontId="8" fillId="20" borderId="0" xfId="1" applyFont="1" applyFill="1" applyBorder="1" applyAlignment="1">
      <alignment horizontal="center" vertical="center"/>
    </xf>
    <xf numFmtId="0" fontId="1" fillId="20" borderId="0" xfId="1" applyFont="1" applyFill="1" applyBorder="1" applyAlignment="1">
      <alignment horizontal="center" wrapText="1"/>
    </xf>
    <xf numFmtId="0" fontId="1" fillId="20" borderId="0" xfId="1" applyFont="1" applyFill="1" applyBorder="1" applyAlignment="1">
      <alignment wrapText="1"/>
    </xf>
    <xf numFmtId="0" fontId="1" fillId="0" borderId="0" xfId="1" applyFont="1" applyBorder="1" applyAlignment="1">
      <alignment horizontal="center"/>
    </xf>
    <xf numFmtId="0" fontId="1" fillId="0" borderId="29" xfId="1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49" fontId="3" fillId="0" borderId="20" xfId="1" applyNumberFormat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164" fontId="3" fillId="0" borderId="20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_Smoke Point ReviewII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worksheet" Target="worksheets/sheet3.xml"/><Relationship Id="rId10" Type="http://schemas.openxmlformats.org/officeDocument/2006/relationships/chartsheet" Target="chartsheets/sheet8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image" Target="../media/image1.emf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image" Target="../media/image1.emf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image" Target="../media/image2.emf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image" Target="../media/image3.emf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image" Target="../media/image4.pn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8.xml"/><Relationship Id="rId1" Type="http://schemas.openxmlformats.org/officeDocument/2006/relationships/image" Target="../media/image5.emf"/></Relationships>
</file>

<file path=xl/charts/_rels/chart1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0.xml"/><Relationship Id="rId1" Type="http://schemas.openxmlformats.org/officeDocument/2006/relationships/image" Target="../media/image4.png"/></Relationships>
</file>

<file path=xl/charts/_rels/chart1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2.xml"/><Relationship Id="rId1" Type="http://schemas.openxmlformats.org/officeDocument/2006/relationships/image" Target="../media/image4.png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1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6.xml"/><Relationship Id="rId1" Type="http://schemas.openxmlformats.org/officeDocument/2006/relationships/image" Target="../media/image6.emf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584415584415584"/>
          <c:y val="0.20993642003001098"/>
          <c:w val="0.77614383094416661"/>
          <c:h val="0.64151581248807554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Datasheet'!$AD$5:$AD$9</c:f>
              <c:numCache>
                <c:formatCode>General</c:formatCode>
                <c:ptCount val="5"/>
                <c:pt idx="0">
                  <c:v>58.016276553281713</c:v>
                </c:pt>
                <c:pt idx="1">
                  <c:v>33.570676556049591</c:v>
                </c:pt>
                <c:pt idx="2">
                  <c:v>39.211968863103159</c:v>
                </c:pt>
                <c:pt idx="3">
                  <c:v>36.391322709576379</c:v>
                </c:pt>
                <c:pt idx="4">
                  <c:v>18.527230403906753</c:v>
                </c:pt>
              </c:numCache>
            </c:numRef>
          </c:xVal>
          <c:yVal>
            <c:numRef>
              <c:f>'Smoke Point Datasheet'!$S$5:$S$9</c:f>
              <c:numCache>
                <c:formatCode>General</c:formatCode>
                <c:ptCount val="5"/>
                <c:pt idx="0">
                  <c:v>75.354798590478822</c:v>
                </c:pt>
                <c:pt idx="1">
                  <c:v>53.989152214468319</c:v>
                </c:pt>
                <c:pt idx="2">
                  <c:v>55.827057279071376</c:v>
                </c:pt>
                <c:pt idx="3">
                  <c:v>57.504493971454878</c:v>
                </c:pt>
                <c:pt idx="4">
                  <c:v>36.988530366890075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Datasheet'!$AD$10</c:f>
              <c:numCache>
                <c:formatCode>General</c:formatCode>
                <c:ptCount val="1"/>
                <c:pt idx="0">
                  <c:v>17.587015019397825</c:v>
                </c:pt>
              </c:numCache>
            </c:numRef>
          </c:xVal>
          <c:yVal>
            <c:numRef>
              <c:f>'Smoke Point Datasheet'!$S$10</c:f>
              <c:numCache>
                <c:formatCode>General</c:formatCode>
                <c:ptCount val="1"/>
                <c:pt idx="0">
                  <c:v>105.22075589027845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Datasheet'!$AD$11:$AD$13</c:f>
              <c:numCache>
                <c:formatCode>General</c:formatCode>
                <c:ptCount val="3"/>
                <c:pt idx="0">
                  <c:v>44.853261170156728</c:v>
                </c:pt>
                <c:pt idx="1">
                  <c:v>36.391322709576379</c:v>
                </c:pt>
                <c:pt idx="2">
                  <c:v>22.288091941942461</c:v>
                </c:pt>
              </c:numCache>
            </c:numRef>
          </c:xVal>
          <c:yVal>
            <c:numRef>
              <c:f>'Smoke Point Datasheet'!$S$11:$S$13</c:f>
              <c:numCache>
                <c:formatCode>General</c:formatCode>
                <c:ptCount val="3"/>
                <c:pt idx="0">
                  <c:v>71.383567938857453</c:v>
                </c:pt>
                <c:pt idx="1">
                  <c:v>61.119455328205881</c:v>
                </c:pt>
                <c:pt idx="2">
                  <c:v>45.522586348649611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Datasheet'!$AD$14:$AD$16</c:f>
              <c:numCache>
                <c:formatCode>General</c:formatCode>
                <c:ptCount val="3"/>
                <c:pt idx="0">
                  <c:v>33.570676556049591</c:v>
                </c:pt>
                <c:pt idx="1">
                  <c:v>21.347876557433533</c:v>
                </c:pt>
                <c:pt idx="2">
                  <c:v>16.646799634888897</c:v>
                </c:pt>
              </c:numCache>
            </c:numRef>
          </c:xVal>
          <c:yVal>
            <c:numRef>
              <c:f>'Smoke Point Datasheet'!$S$14:$S$16</c:f>
              <c:numCache>
                <c:formatCode>General</c:formatCode>
                <c:ptCount val="3"/>
                <c:pt idx="0">
                  <c:v>105.45049402335384</c:v>
                </c:pt>
                <c:pt idx="1">
                  <c:v>75.584536723554208</c:v>
                </c:pt>
                <c:pt idx="2">
                  <c:v>64.327368202860498</c:v>
                </c:pt>
              </c:numCache>
            </c:numRef>
          </c:yVal>
          <c:smooth val="0"/>
        </c:ser>
        <c:ser>
          <c:idx val="4"/>
          <c:order val="4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3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Datasheet'!$AD$27:$AD$30</c:f>
              <c:numCache>
                <c:formatCode>General</c:formatCode>
                <c:ptCount val="4"/>
                <c:pt idx="0">
                  <c:v>37.331538094085303</c:v>
                </c:pt>
                <c:pt idx="1">
                  <c:v>14.766368865871041</c:v>
                </c:pt>
                <c:pt idx="2">
                  <c:v>14.766368865871041</c:v>
                </c:pt>
                <c:pt idx="3">
                  <c:v>38.271753478594235</c:v>
                </c:pt>
              </c:numCache>
            </c:numRef>
          </c:xVal>
          <c:yVal>
            <c:numRef>
              <c:f>'Smoke Point Datasheet'!$S$27:$S$30</c:f>
              <c:numCache>
                <c:formatCode>General</c:formatCode>
                <c:ptCount val="4"/>
                <c:pt idx="0">
                  <c:v>39.515649830719269</c:v>
                </c:pt>
                <c:pt idx="1">
                  <c:v>21.973157245733759</c:v>
                </c:pt>
                <c:pt idx="2">
                  <c:v>20.154748835313043</c:v>
                </c:pt>
                <c:pt idx="3">
                  <c:v>43.97615819320869</c:v>
                </c:pt>
              </c:numCache>
            </c:numRef>
          </c:yVal>
          <c:smooth val="0"/>
        </c:ser>
        <c:ser>
          <c:idx val="6"/>
          <c:order val="5"/>
          <c:tx>
            <c:v>Propylene 1.6mm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Datasheet'!$AD$38:$AD$47</c:f>
              <c:numCache>
                <c:formatCode>General</c:formatCode>
                <c:ptCount val="10"/>
                <c:pt idx="0">
                  <c:v>51.43476886171922</c:v>
                </c:pt>
                <c:pt idx="1">
                  <c:v>33.570676556049591</c:v>
                </c:pt>
                <c:pt idx="2">
                  <c:v>22.288091941942461</c:v>
                </c:pt>
                <c:pt idx="3">
                  <c:v>9.1250765588174758</c:v>
                </c:pt>
                <c:pt idx="4">
                  <c:v>20.407661172924605</c:v>
                </c:pt>
                <c:pt idx="5">
                  <c:v>10.065291943326404</c:v>
                </c:pt>
                <c:pt idx="6">
                  <c:v>29.809815018013886</c:v>
                </c:pt>
                <c:pt idx="7">
                  <c:v>57.076061168772782</c:v>
                </c:pt>
                <c:pt idx="8">
                  <c:v>46.733691939174577</c:v>
                </c:pt>
                <c:pt idx="9">
                  <c:v>40.152184247612084</c:v>
                </c:pt>
              </c:numCache>
            </c:numRef>
          </c:xVal>
          <c:yVal>
            <c:numRef>
              <c:f>'Smoke Point Datasheet'!$S$38:$S$47</c:f>
              <c:numCache>
                <c:formatCode>General</c:formatCode>
                <c:ptCount val="10"/>
                <c:pt idx="0">
                  <c:v>25.731627702244865</c:v>
                </c:pt>
                <c:pt idx="1">
                  <c:v>19.634050140212551</c:v>
                </c:pt>
                <c:pt idx="2">
                  <c:v>15.794834638192199</c:v>
                </c:pt>
                <c:pt idx="3">
                  <c:v>13.988144990182633</c:v>
                </c:pt>
                <c:pt idx="4">
                  <c:v>15.486779909668897</c:v>
                </c:pt>
                <c:pt idx="5">
                  <c:v>13.416820766403589</c:v>
                </c:pt>
                <c:pt idx="6">
                  <c:v>17.556739052934205</c:v>
                </c:pt>
                <c:pt idx="7">
                  <c:v>26.526562007083882</c:v>
                </c:pt>
                <c:pt idx="8">
                  <c:v>23.076630101641697</c:v>
                </c:pt>
                <c:pt idx="9">
                  <c:v>19.396702735836712</c:v>
                </c:pt>
              </c:numCache>
            </c:numRef>
          </c:yVal>
          <c:smooth val="0"/>
        </c:ser>
        <c:ser>
          <c:idx val="7"/>
          <c:order val="6"/>
          <c:tx>
            <c:v>Propylene 0.76mm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bg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Datasheet'!$AD$48:$AD$55</c:f>
              <c:numCache>
                <c:formatCode>General</c:formatCode>
                <c:ptCount val="8"/>
                <c:pt idx="0">
                  <c:v>41.092399632121015</c:v>
                </c:pt>
                <c:pt idx="1">
                  <c:v>28.869599633504954</c:v>
                </c:pt>
                <c:pt idx="2">
                  <c:v>26.989168864487098</c:v>
                </c:pt>
                <c:pt idx="3">
                  <c:v>24.168522710960318</c:v>
                </c:pt>
                <c:pt idx="4">
                  <c:v>12.885938096853188</c:v>
                </c:pt>
                <c:pt idx="5">
                  <c:v>50.494553477210289</c:v>
                </c:pt>
                <c:pt idx="6">
                  <c:v>31.690245787031742</c:v>
                </c:pt>
                <c:pt idx="7">
                  <c:v>7.2446457897996197</c:v>
                </c:pt>
              </c:numCache>
            </c:numRef>
          </c:xVal>
          <c:yVal>
            <c:numRef>
              <c:f>'Smoke Point Datasheet'!$S$48:$S$55</c:f>
              <c:numCache>
                <c:formatCode>General</c:formatCode>
                <c:ptCount val="8"/>
                <c:pt idx="0">
                  <c:v>26.634972526249655</c:v>
                </c:pt>
                <c:pt idx="1">
                  <c:v>22.795757024229317</c:v>
                </c:pt>
                <c:pt idx="2">
                  <c:v>21.666575994223322</c:v>
                </c:pt>
                <c:pt idx="3">
                  <c:v>21.926652799827636</c:v>
                </c:pt>
                <c:pt idx="4">
                  <c:v>15.946770830394527</c:v>
                </c:pt>
                <c:pt idx="5">
                  <c:v>31.816457595428545</c:v>
                </c:pt>
                <c:pt idx="6">
                  <c:v>26.296566546721067</c:v>
                </c:pt>
                <c:pt idx="7">
                  <c:v>14.213981196183823</c:v>
                </c:pt>
              </c:numCache>
            </c:numRef>
          </c:yVal>
          <c:smooth val="0"/>
        </c:ser>
        <c:ser>
          <c:idx val="8"/>
          <c:order val="7"/>
          <c:tx>
            <c:v>Propylene 0.41mm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80808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Datasheet'!$AD$56:$AD$59</c:f>
              <c:numCache>
                <c:formatCode>General</c:formatCode>
                <c:ptCount val="4"/>
                <c:pt idx="0">
                  <c:v>26.989168864487098</c:v>
                </c:pt>
                <c:pt idx="1">
                  <c:v>14.766368865871041</c:v>
                </c:pt>
                <c:pt idx="2">
                  <c:v>10.065291943326404</c:v>
                </c:pt>
                <c:pt idx="3">
                  <c:v>5.3642150207817654</c:v>
                </c:pt>
              </c:numCache>
            </c:numRef>
          </c:xVal>
          <c:yVal>
            <c:numRef>
              <c:f>'Smoke Point Datasheet'!$S$56:$S$59</c:f>
              <c:numCache>
                <c:formatCode>General</c:formatCode>
                <c:ptCount val="4"/>
                <c:pt idx="0">
                  <c:v>53.283644834390898</c:v>
                </c:pt>
                <c:pt idx="1">
                  <c:v>46.96023106635738</c:v>
                </c:pt>
                <c:pt idx="2">
                  <c:v>59.185917378603172</c:v>
                </c:pt>
                <c:pt idx="3">
                  <c:v>37.700946620308301</c:v>
                </c:pt>
              </c:numCache>
            </c:numRef>
          </c:yVal>
          <c:smooth val="0"/>
        </c:ser>
        <c:ser>
          <c:idx val="5"/>
          <c:order val="8"/>
          <c:tx>
            <c:v>50% Propylene, 1.6mm</c:v>
          </c:tx>
          <c:spPr>
            <a:ln w="28575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Datasheet'!$AD$31:$AD$37</c:f>
              <c:numCache>
                <c:formatCode>General</c:formatCode>
                <c:ptCount val="7"/>
                <c:pt idx="0">
                  <c:v>40.152184247612084</c:v>
                </c:pt>
                <c:pt idx="1">
                  <c:v>26.048953479978174</c:v>
                </c:pt>
                <c:pt idx="2">
                  <c:v>12.885938096853188</c:v>
                </c:pt>
                <c:pt idx="3">
                  <c:v>26.048953479978174</c:v>
                </c:pt>
                <c:pt idx="4">
                  <c:v>40.152184247612084</c:v>
                </c:pt>
                <c:pt idx="5">
                  <c:v>48.614122708192433</c:v>
                </c:pt>
                <c:pt idx="6">
                  <c:v>11.005507327835332</c:v>
                </c:pt>
              </c:numCache>
            </c:numRef>
          </c:xVal>
          <c:yVal>
            <c:numRef>
              <c:f>'Smoke Point Datasheet'!$S$31:$S$37</c:f>
              <c:numCache>
                <c:formatCode>General</c:formatCode>
                <c:ptCount val="7"/>
                <c:pt idx="0">
                  <c:v>41.72808115184219</c:v>
                </c:pt>
                <c:pt idx="1">
                  <c:v>32.501314628506648</c:v>
                </c:pt>
                <c:pt idx="2">
                  <c:v>26.515626471498351</c:v>
                </c:pt>
                <c:pt idx="3">
                  <c:v>33.41256921447696</c:v>
                </c:pt>
                <c:pt idx="4">
                  <c:v>42.378594780349147</c:v>
                </c:pt>
                <c:pt idx="5">
                  <c:v>49.505435614760387</c:v>
                </c:pt>
                <c:pt idx="6">
                  <c:v>22.121202289754166</c:v>
                </c:pt>
              </c:numCache>
            </c:numRef>
          </c:yVal>
          <c:smooth val="0"/>
        </c:ser>
        <c:ser>
          <c:idx val="3"/>
          <c:order val="9"/>
          <c:tx>
            <c:v>75% Propylene 1.6mm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Datasheet'!$AD$17:$AD$28</c:f>
              <c:numCache>
                <c:formatCode>General</c:formatCode>
                <c:ptCount val="12"/>
                <c:pt idx="0">
                  <c:v>64.597784244844206</c:v>
                </c:pt>
                <c:pt idx="1">
                  <c:v>58.956491937790645</c:v>
                </c:pt>
                <c:pt idx="2">
                  <c:v>51.43476886171922</c:v>
                </c:pt>
                <c:pt idx="3">
                  <c:v>42.03261501662994</c:v>
                </c:pt>
                <c:pt idx="4">
                  <c:v>28.869599633504954</c:v>
                </c:pt>
                <c:pt idx="5">
                  <c:v>12.885938096853188</c:v>
                </c:pt>
                <c:pt idx="6">
                  <c:v>12.885938096853188</c:v>
                </c:pt>
                <c:pt idx="7">
                  <c:v>26.989168864487098</c:v>
                </c:pt>
                <c:pt idx="8">
                  <c:v>16.646799634888897</c:v>
                </c:pt>
                <c:pt idx="9">
                  <c:v>23.22830732645139</c:v>
                </c:pt>
                <c:pt idx="10">
                  <c:v>37.331538094085303</c:v>
                </c:pt>
                <c:pt idx="11">
                  <c:v>14.766368865871041</c:v>
                </c:pt>
              </c:numCache>
            </c:numRef>
          </c:xVal>
          <c:yVal>
            <c:numRef>
              <c:f>'Smoke Point Datasheet'!$S$17:$S$26</c:f>
              <c:numCache>
                <c:formatCode>General</c:formatCode>
                <c:ptCount val="10"/>
                <c:pt idx="0">
                  <c:v>37.67774476611622</c:v>
                </c:pt>
                <c:pt idx="1">
                  <c:v>35.839839701513156</c:v>
                </c:pt>
                <c:pt idx="2">
                  <c:v>31.704553306156285</c:v>
                </c:pt>
                <c:pt idx="3">
                  <c:v>26.650314378497882</c:v>
                </c:pt>
                <c:pt idx="4">
                  <c:v>21.13659918468872</c:v>
                </c:pt>
                <c:pt idx="5">
                  <c:v>14.474193325502654</c:v>
                </c:pt>
                <c:pt idx="6">
                  <c:v>14.158540794131824</c:v>
                </c:pt>
                <c:pt idx="7">
                  <c:v>20.364052322316638</c:v>
                </c:pt>
                <c:pt idx="8">
                  <c:v>15.608727809261254</c:v>
                </c:pt>
                <c:pt idx="9">
                  <c:v>17.881738322287148</c:v>
                </c:pt>
              </c:numCache>
            </c:numRef>
          </c:yVal>
          <c:smooth val="0"/>
        </c:ser>
        <c:ser>
          <c:idx val="10"/>
          <c:order val="10"/>
          <c:tx>
            <c:v>LSP Propane 1.6mm</c:v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Datasheet'!$AD$84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'Smoke Point Datasheet'!$S$84</c:f>
              <c:numCache>
                <c:formatCode>General</c:formatCode>
                <c:ptCount val="1"/>
                <c:pt idx="0">
                  <c:v>28.743000000000002</c:v>
                </c:pt>
              </c:numCache>
            </c:numRef>
          </c:yVal>
          <c:smooth val="0"/>
        </c:ser>
        <c:ser>
          <c:idx val="12"/>
          <c:order val="11"/>
          <c:tx>
            <c:v>Ethylene 1.6mm</c:v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triang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Datasheet'!$AD$75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'Smoke Point Datasheet'!$S$75</c:f>
              <c:numCache>
                <c:formatCode>General</c:formatCode>
                <c:ptCount val="1"/>
                <c:pt idx="0">
                  <c:v>20.77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11200"/>
        <c:axId val="126213504"/>
      </c:scatterChart>
      <c:valAx>
        <c:axId val="126211200"/>
        <c:scaling>
          <c:orientation val="minMax"/>
          <c:max val="70"/>
          <c:min val="-2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u</a:t>
                </a:r>
                <a:r>
                  <a:rPr lang="en-US" sz="8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air</a:t>
                </a: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(cm/s)</a:t>
                </a:r>
              </a:p>
            </c:rich>
          </c:tx>
          <c:layout>
            <c:manualLayout>
              <c:xMode val="edge"/>
              <c:yMode val="edge"/>
              <c:x val="0.49234855643044617"/>
              <c:y val="0.8890626982039818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in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213504"/>
        <c:crosses val="autoZero"/>
        <c:crossBetween val="midCat"/>
        <c:majorUnit val="20"/>
        <c:minorUnit val="10"/>
      </c:valAx>
      <c:valAx>
        <c:axId val="126213504"/>
        <c:scaling>
          <c:orientation val="minMax"/>
          <c:max val="14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L</a:t>
                </a:r>
                <a:r>
                  <a:rPr lang="en-US" sz="8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SP </a:t>
                </a: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(mm)</a:t>
                </a:r>
              </a:p>
            </c:rich>
          </c:tx>
          <c:layout>
            <c:manualLayout>
              <c:xMode val="edge"/>
              <c:yMode val="edge"/>
              <c:x val="0.1093172353455818"/>
              <c:y val="0.47730849950239523"/>
            </c:manualLayout>
          </c:layout>
          <c:overlay val="0"/>
          <c:spPr>
            <a:solidFill>
              <a:sysClr val="window" lastClr="FFFFFF"/>
            </a:solidFill>
            <a:ln w="25400">
              <a:noFill/>
            </a:ln>
          </c:spPr>
        </c:title>
        <c:numFmt formatCode="#,##0" sourceLinked="0"/>
        <c:majorTickMark val="in"/>
        <c:minorTickMark val="in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211200"/>
        <c:crossesAt val="-10"/>
        <c:crossBetween val="midCat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33766233766234"/>
          <c:y val="6.7724475617018456E-2"/>
          <c:w val="0.78640692640692644"/>
          <c:h val="0.78372762228250881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Datasheet'!$S$5:$S$9</c:f>
              <c:numCache>
                <c:formatCode>General</c:formatCode>
                <c:ptCount val="5"/>
                <c:pt idx="0">
                  <c:v>75.354798590478822</c:v>
                </c:pt>
                <c:pt idx="1">
                  <c:v>53.989152214468319</c:v>
                </c:pt>
                <c:pt idx="2">
                  <c:v>55.827057279071376</c:v>
                </c:pt>
                <c:pt idx="3">
                  <c:v>57.504493971454878</c:v>
                </c:pt>
                <c:pt idx="4">
                  <c:v>36.988530366890075</c:v>
                </c:pt>
              </c:numCache>
            </c:numRef>
          </c:xVal>
          <c:yVal>
            <c:numRef>
              <c:f>'Smoke Point Datasheet'!$AT$5:$AT$9</c:f>
              <c:numCache>
                <c:formatCode>General</c:formatCode>
                <c:ptCount val="5"/>
                <c:pt idx="0">
                  <c:v>129.84264323509674</c:v>
                </c:pt>
                <c:pt idx="1">
                  <c:v>160.75856698229867</c:v>
                </c:pt>
                <c:pt idx="2">
                  <c:v>142.32178821816709</c:v>
                </c:pt>
                <c:pt idx="3">
                  <c:v>157.95897811723859</c:v>
                </c:pt>
                <c:pt idx="4">
                  <c:v>199.55419005382697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Datasheet'!$S$10</c:f>
              <c:numCache>
                <c:formatCode>General</c:formatCode>
                <c:ptCount val="1"/>
                <c:pt idx="0">
                  <c:v>105.22075589027845</c:v>
                </c:pt>
              </c:numCache>
            </c:numRef>
          </c:xVal>
          <c:yVal>
            <c:numRef>
              <c:f>'Smoke Point Datasheet'!$AT$10</c:f>
              <c:numCache>
                <c:formatCode>General</c:formatCode>
                <c:ptCount val="1"/>
                <c:pt idx="0">
                  <c:v>597.75406883570474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Datasheet'!$S$11:$S$13</c:f>
              <c:numCache>
                <c:formatCode>General</c:formatCode>
                <c:ptCount val="3"/>
                <c:pt idx="0">
                  <c:v>71.383567938857453</c:v>
                </c:pt>
                <c:pt idx="1">
                  <c:v>61.119455328205881</c:v>
                </c:pt>
                <c:pt idx="2">
                  <c:v>45.522586348649611</c:v>
                </c:pt>
              </c:numCache>
            </c:numRef>
          </c:xVal>
          <c:yVal>
            <c:numRef>
              <c:f>'Smoke Point Datasheet'!$AT$11:$AT$13</c:f>
              <c:numCache>
                <c:formatCode>General</c:formatCode>
                <c:ptCount val="3"/>
                <c:pt idx="0">
                  <c:v>159.10983599823481</c:v>
                </c:pt>
                <c:pt idx="1">
                  <c:v>167.90858714653075</c:v>
                </c:pt>
                <c:pt idx="2">
                  <c:v>204.18804827168938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Datasheet'!$S$14:$S$16</c:f>
              <c:numCache>
                <c:formatCode>General</c:formatCode>
                <c:ptCount val="3"/>
                <c:pt idx="0">
                  <c:v>105.45049402335384</c:v>
                </c:pt>
                <c:pt idx="1">
                  <c:v>75.584536723554208</c:v>
                </c:pt>
                <c:pt idx="2">
                  <c:v>64.327368202860498</c:v>
                </c:pt>
              </c:numCache>
            </c:numRef>
          </c:xVal>
          <c:yVal>
            <c:numRef>
              <c:f>'Smoke Point Datasheet'!$AT$14:$AT$16</c:f>
              <c:numCache>
                <c:formatCode>General</c:formatCode>
                <c:ptCount val="3"/>
                <c:pt idx="0">
                  <c:v>313.88653995578846</c:v>
                </c:pt>
                <c:pt idx="1">
                  <c:v>353.80115529405913</c:v>
                </c:pt>
                <c:pt idx="2">
                  <c:v>386.13360755403858</c:v>
                </c:pt>
              </c:numCache>
            </c:numRef>
          </c:yVal>
          <c:smooth val="0"/>
        </c:ser>
        <c:ser>
          <c:idx val="3"/>
          <c:order val="4"/>
          <c:tx>
            <c:v>75% Propylene 1.6mm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Datasheet'!$S$17:$S$28</c:f>
              <c:numCache>
                <c:formatCode>General</c:formatCode>
                <c:ptCount val="12"/>
                <c:pt idx="0">
                  <c:v>37.67774476611622</c:v>
                </c:pt>
                <c:pt idx="1">
                  <c:v>35.839839701513156</c:v>
                </c:pt>
                <c:pt idx="2">
                  <c:v>31.704553306156285</c:v>
                </c:pt>
                <c:pt idx="3">
                  <c:v>26.650314378497882</c:v>
                </c:pt>
                <c:pt idx="4">
                  <c:v>21.13659918468872</c:v>
                </c:pt>
                <c:pt idx="5">
                  <c:v>14.474193325502654</c:v>
                </c:pt>
                <c:pt idx="6">
                  <c:v>14.158540794131824</c:v>
                </c:pt>
                <c:pt idx="7">
                  <c:v>20.364052322316638</c:v>
                </c:pt>
                <c:pt idx="8">
                  <c:v>15.608727809261254</c:v>
                </c:pt>
                <c:pt idx="9">
                  <c:v>17.881738322287148</c:v>
                </c:pt>
                <c:pt idx="10">
                  <c:v>39.515649830719269</c:v>
                </c:pt>
                <c:pt idx="11">
                  <c:v>21.973157245733759</c:v>
                </c:pt>
              </c:numCache>
            </c:numRef>
          </c:xVal>
          <c:yVal>
            <c:numRef>
              <c:f>'Smoke Point Datasheet'!$AT$17:$AT$26</c:f>
              <c:numCache>
                <c:formatCode>General</c:formatCode>
                <c:ptCount val="10"/>
                <c:pt idx="0">
                  <c:v>58.322170121499646</c:v>
                </c:pt>
                <c:pt idx="1">
                  <c:v>60.784012381462937</c:v>
                </c:pt>
                <c:pt idx="2">
                  <c:v>61.636022124738112</c:v>
                </c:pt>
                <c:pt idx="3">
                  <c:v>63.397447714574568</c:v>
                </c:pt>
                <c:pt idx="4">
                  <c:v>73.204896426150427</c:v>
                </c:pt>
                <c:pt idx="5">
                  <c:v>112.30119952437119</c:v>
                </c:pt>
                <c:pt idx="6">
                  <c:v>109.8527405629611</c:v>
                </c:pt>
                <c:pt idx="7">
                  <c:v>75.44413027025692</c:v>
                </c:pt>
                <c:pt idx="8">
                  <c:v>93.749865001954774</c:v>
                </c:pt>
                <c:pt idx="9">
                  <c:v>76.974335229345542</c:v>
                </c:pt>
              </c:numCache>
            </c:numRef>
          </c:yVal>
          <c:smooth val="0"/>
        </c:ser>
        <c:ser>
          <c:idx val="6"/>
          <c:order val="5"/>
          <c:tx>
            <c:v>Propylene 1.6mm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Datasheet'!$S$38:$S$47</c:f>
              <c:numCache>
                <c:formatCode>General</c:formatCode>
                <c:ptCount val="10"/>
                <c:pt idx="0">
                  <c:v>25.731627702244865</c:v>
                </c:pt>
                <c:pt idx="1">
                  <c:v>19.634050140212551</c:v>
                </c:pt>
                <c:pt idx="2">
                  <c:v>15.794834638192199</c:v>
                </c:pt>
                <c:pt idx="3">
                  <c:v>13.988144990182633</c:v>
                </c:pt>
                <c:pt idx="4">
                  <c:v>15.486779909668897</c:v>
                </c:pt>
                <c:pt idx="5">
                  <c:v>13.416820766403589</c:v>
                </c:pt>
                <c:pt idx="6">
                  <c:v>17.556739052934205</c:v>
                </c:pt>
                <c:pt idx="7">
                  <c:v>26.526562007083882</c:v>
                </c:pt>
                <c:pt idx="8">
                  <c:v>23.076630101641697</c:v>
                </c:pt>
                <c:pt idx="9">
                  <c:v>19.396702735836712</c:v>
                </c:pt>
              </c:numCache>
            </c:numRef>
          </c:xVal>
          <c:yVal>
            <c:numRef>
              <c:f>'Smoke Point Datasheet'!$AT$38:$AT$47</c:f>
              <c:numCache>
                <c:formatCode>General</c:formatCode>
                <c:ptCount val="10"/>
                <c:pt idx="0">
                  <c:v>50.029070219205984</c:v>
                </c:pt>
                <c:pt idx="1">
                  <c:v>58.487790263647241</c:v>
                </c:pt>
                <c:pt idx="2">
                  <c:v>70.868089996227312</c:v>
                </c:pt>
                <c:pt idx="3">
                  <c:v>153.2717295903166</c:v>
                </c:pt>
                <c:pt idx="4">
                  <c:v>75.885398449349168</c:v>
                </c:pt>
                <c:pt idx="5">
                  <c:v>133.28590021472766</c:v>
                </c:pt>
                <c:pt idx="6">
                  <c:v>58.897430423067313</c:v>
                </c:pt>
                <c:pt idx="7">
                  <c:v>46.477526044735313</c:v>
                </c:pt>
                <c:pt idx="8">
                  <c:v>49.38082878291484</c:v>
                </c:pt>
                <c:pt idx="9">
                  <c:v>48.308896033983324</c:v>
                </c:pt>
              </c:numCache>
            </c:numRef>
          </c:yVal>
          <c:smooth val="0"/>
        </c:ser>
        <c:ser>
          <c:idx val="8"/>
          <c:order val="6"/>
          <c:tx>
            <c:v>Propylene 0.41mm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80808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Datasheet'!$S$56:$S$59</c:f>
              <c:numCache>
                <c:formatCode>General</c:formatCode>
                <c:ptCount val="4"/>
                <c:pt idx="0">
                  <c:v>53.283644834390898</c:v>
                </c:pt>
                <c:pt idx="1">
                  <c:v>46.96023106635738</c:v>
                </c:pt>
                <c:pt idx="2">
                  <c:v>59.185917378603172</c:v>
                </c:pt>
                <c:pt idx="3">
                  <c:v>37.700946620308301</c:v>
                </c:pt>
              </c:numCache>
            </c:numRef>
          </c:xVal>
          <c:yVal>
            <c:numRef>
              <c:f>'Smoke Point Datasheet'!$AT$56:$AT$59</c:f>
              <c:numCache>
                <c:formatCode>General</c:formatCode>
                <c:ptCount val="4"/>
                <c:pt idx="0">
                  <c:v>197.2653672800738</c:v>
                </c:pt>
                <c:pt idx="1">
                  <c:v>317.74736924839891</c:v>
                </c:pt>
                <c:pt idx="2">
                  <c:v>587.47765729784101</c:v>
                </c:pt>
                <c:pt idx="3">
                  <c:v>702.16715790071282</c:v>
                </c:pt>
              </c:numCache>
            </c:numRef>
          </c:yVal>
          <c:smooth val="0"/>
        </c:ser>
        <c:ser>
          <c:idx val="7"/>
          <c:order val="7"/>
          <c:tx>
            <c:v>Propylene 0.76mm</c:v>
          </c:tx>
          <c:spPr>
            <a:ln w="28575">
              <a:noFill/>
            </a:ln>
          </c:spPr>
          <c:marker>
            <c:symbol val="diamond"/>
            <c:size val="5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Datasheet'!$S$48:$S$55</c:f>
              <c:numCache>
                <c:formatCode>General</c:formatCode>
                <c:ptCount val="8"/>
                <c:pt idx="0">
                  <c:v>26.634972526249655</c:v>
                </c:pt>
                <c:pt idx="1">
                  <c:v>22.795757024229317</c:v>
                </c:pt>
                <c:pt idx="2">
                  <c:v>21.666575994223322</c:v>
                </c:pt>
                <c:pt idx="3">
                  <c:v>21.926652799827636</c:v>
                </c:pt>
                <c:pt idx="4">
                  <c:v>15.946770830394527</c:v>
                </c:pt>
                <c:pt idx="5">
                  <c:v>31.816457595428545</c:v>
                </c:pt>
                <c:pt idx="6">
                  <c:v>26.296566546721067</c:v>
                </c:pt>
                <c:pt idx="7">
                  <c:v>14.213981196183823</c:v>
                </c:pt>
              </c:numCache>
            </c:numRef>
          </c:xVal>
          <c:yVal>
            <c:numRef>
              <c:f>'Smoke Point Datasheet'!$AT$48:$AT$55</c:f>
              <c:numCache>
                <c:formatCode>General</c:formatCode>
                <c:ptCount val="8"/>
                <c:pt idx="0">
                  <c:v>64.793536334376611</c:v>
                </c:pt>
                <c:pt idx="1">
                  <c:v>78.929472559626376</c:v>
                </c:pt>
                <c:pt idx="2">
                  <c:v>80.24713956101094</c:v>
                </c:pt>
                <c:pt idx="3">
                  <c:v>90.687092337854082</c:v>
                </c:pt>
                <c:pt idx="4">
                  <c:v>123.69424332819545</c:v>
                </c:pt>
                <c:pt idx="5">
                  <c:v>62.984230754526862</c:v>
                </c:pt>
                <c:pt idx="6">
                  <c:v>82.94546395730508</c:v>
                </c:pt>
                <c:pt idx="7">
                  <c:v>196.07972127870627</c:v>
                </c:pt>
              </c:numCache>
            </c:numRef>
          </c:yVal>
          <c:smooth val="0"/>
        </c:ser>
        <c:ser>
          <c:idx val="5"/>
          <c:order val="8"/>
          <c:tx>
            <c:v>50% Propylene, 1.6mm</c:v>
          </c:tx>
          <c:spPr>
            <a:ln w="28575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Datasheet'!$S$31:$S$37</c:f>
              <c:numCache>
                <c:formatCode>General</c:formatCode>
                <c:ptCount val="7"/>
                <c:pt idx="0">
                  <c:v>41.72808115184219</c:v>
                </c:pt>
                <c:pt idx="1">
                  <c:v>32.501314628506648</c:v>
                </c:pt>
                <c:pt idx="2">
                  <c:v>26.515626471498351</c:v>
                </c:pt>
                <c:pt idx="3">
                  <c:v>33.41256921447696</c:v>
                </c:pt>
                <c:pt idx="4">
                  <c:v>42.378594780349147</c:v>
                </c:pt>
                <c:pt idx="5">
                  <c:v>49.505435614760387</c:v>
                </c:pt>
                <c:pt idx="6">
                  <c:v>22.121202289754166</c:v>
                </c:pt>
              </c:numCache>
            </c:numRef>
          </c:xVal>
          <c:yVal>
            <c:numRef>
              <c:f>'Smoke Point Datasheet'!$AT$31:$AT$37</c:f>
              <c:numCache>
                <c:formatCode>General</c:formatCode>
                <c:ptCount val="7"/>
                <c:pt idx="0">
                  <c:v>103.87899458566204</c:v>
                </c:pt>
                <c:pt idx="1">
                  <c:v>124.70947112252833</c:v>
                </c:pt>
                <c:pt idx="2">
                  <c:v>205.6519538858351</c:v>
                </c:pt>
                <c:pt idx="3">
                  <c:v>128.20703196834086</c:v>
                </c:pt>
                <c:pt idx="4">
                  <c:v>105.49818188144791</c:v>
                </c:pt>
                <c:pt idx="5">
                  <c:v>101.79112587771867</c:v>
                </c:pt>
                <c:pt idx="6">
                  <c:v>200.87907645860028</c:v>
                </c:pt>
              </c:numCache>
            </c:numRef>
          </c:yVal>
          <c:smooth val="0"/>
        </c:ser>
        <c:ser>
          <c:idx val="4"/>
          <c:order val="9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chemeClr val="bg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Datasheet'!$S$27:$S$30</c:f>
              <c:numCache>
                <c:formatCode>General</c:formatCode>
                <c:ptCount val="4"/>
                <c:pt idx="0">
                  <c:v>39.515649830719269</c:v>
                </c:pt>
                <c:pt idx="1">
                  <c:v>21.973157245733759</c:v>
                </c:pt>
                <c:pt idx="2">
                  <c:v>20.154748835313043</c:v>
                </c:pt>
                <c:pt idx="3">
                  <c:v>43.97615819320869</c:v>
                </c:pt>
              </c:numCache>
            </c:numRef>
          </c:xVal>
          <c:yVal>
            <c:numRef>
              <c:f>'Smoke Point Datasheet'!$AT$27:$AT$30</c:f>
              <c:numCache>
                <c:formatCode>General</c:formatCode>
                <c:ptCount val="4"/>
                <c:pt idx="0">
                  <c:v>105.78214386761579</c:v>
                </c:pt>
                <c:pt idx="1">
                  <c:v>148.70777205565201</c:v>
                </c:pt>
                <c:pt idx="2">
                  <c:v>136.40082565158016</c:v>
                </c:pt>
                <c:pt idx="3">
                  <c:v>114.83139851871596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62912"/>
        <c:axId val="126677760"/>
      </c:scatterChart>
      <c:valAx>
        <c:axId val="126662912"/>
        <c:scaling>
          <c:orientation val="minMax"/>
          <c:max val="1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L</a:t>
                </a:r>
                <a:r>
                  <a:rPr lang="en-US" sz="8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SP</a:t>
                </a: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(mm)</a:t>
                </a:r>
              </a:p>
            </c:rich>
          </c:tx>
          <c:layout>
            <c:manualLayout>
              <c:xMode val="edge"/>
              <c:yMode val="edge"/>
              <c:x val="0.41558438528517266"/>
              <c:y val="0.92753935169868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677760"/>
        <c:crosses val="autoZero"/>
        <c:crossBetween val="midCat"/>
        <c:majorUnit val="20"/>
        <c:minorUnit val="10"/>
      </c:valAx>
      <c:valAx>
        <c:axId val="126677760"/>
        <c:scaling>
          <c:orientation val="minMax"/>
          <c:max val="8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</a:t>
                </a:r>
                <a:r>
                  <a:rPr lang="en-US" sz="8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res  </a:t>
                </a: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(ms)</a:t>
                </a:r>
              </a:p>
            </c:rich>
          </c:tx>
          <c:layout>
            <c:manualLayout>
              <c:xMode val="edge"/>
              <c:yMode val="edge"/>
              <c:x val="1.6233637461983919E-2"/>
              <c:y val="0.3937210789827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6662912"/>
        <c:crosses val="autoZero"/>
        <c:crossBetween val="midCat"/>
        <c:majorUnit val="100"/>
        <c:minorUnit val="5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33344827728896E-2"/>
          <c:y val="4.0916530278232409E-2"/>
          <c:w val="0.88983173584223807"/>
          <c:h val="0.85597381342062195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power"/>
            <c:dispRSqr val="1"/>
            <c:dispEq val="1"/>
            <c:trendlineLbl>
              <c:layout>
                <c:manualLayout>
                  <c:x val="0.10714443517227788"/>
                  <c:y val="-0.35336088908165586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'Smoke Point Datasheet'!$BK$65:$BK$87</c:f>
              <c:numCache>
                <c:formatCode>General</c:formatCode>
                <c:ptCount val="23"/>
                <c:pt idx="0">
                  <c:v>0.51</c:v>
                </c:pt>
                <c:pt idx="1">
                  <c:v>3.84</c:v>
                </c:pt>
                <c:pt idx="2">
                  <c:v>1.1200000000000001</c:v>
                </c:pt>
                <c:pt idx="3">
                  <c:v>7.87</c:v>
                </c:pt>
                <c:pt idx="4">
                  <c:v>7</c:v>
                </c:pt>
                <c:pt idx="5">
                  <c:v>2.23</c:v>
                </c:pt>
                <c:pt idx="6">
                  <c:v>5.13</c:v>
                </c:pt>
                <c:pt idx="7">
                  <c:v>2.0699999999999998</c:v>
                </c:pt>
                <c:pt idx="8">
                  <c:v>1.57</c:v>
                </c:pt>
                <c:pt idx="9">
                  <c:v>0.77</c:v>
                </c:pt>
                <c:pt idx="10">
                  <c:v>1</c:v>
                </c:pt>
                <c:pt idx="11">
                  <c:v>1.73</c:v>
                </c:pt>
                <c:pt idx="12">
                  <c:v>1.77</c:v>
                </c:pt>
                <c:pt idx="13">
                  <c:v>1.93</c:v>
                </c:pt>
                <c:pt idx="14">
                  <c:v>0.65</c:v>
                </c:pt>
                <c:pt idx="15">
                  <c:v>0.8</c:v>
                </c:pt>
                <c:pt idx="16">
                  <c:v>0.27</c:v>
                </c:pt>
                <c:pt idx="17">
                  <c:v>0.22</c:v>
                </c:pt>
                <c:pt idx="18">
                  <c:v>0.28000000000000003</c:v>
                </c:pt>
                <c:pt idx="19">
                  <c:v>0.15</c:v>
                </c:pt>
                <c:pt idx="20">
                  <c:v>0.18</c:v>
                </c:pt>
                <c:pt idx="21">
                  <c:v>0.27</c:v>
                </c:pt>
                <c:pt idx="22">
                  <c:v>0.17</c:v>
                </c:pt>
              </c:numCache>
            </c:numRef>
          </c:xVal>
          <c:yVal>
            <c:numRef>
              <c:f>'Smoke Point Datasheet'!$BL$65:$BL$87</c:f>
              <c:numCache>
                <c:formatCode>General</c:formatCode>
                <c:ptCount val="23"/>
                <c:pt idx="0">
                  <c:v>15.3</c:v>
                </c:pt>
                <c:pt idx="1">
                  <c:v>5.9</c:v>
                </c:pt>
                <c:pt idx="2">
                  <c:v>10</c:v>
                </c:pt>
                <c:pt idx="3">
                  <c:v>3.7</c:v>
                </c:pt>
                <c:pt idx="4">
                  <c:v>4.2</c:v>
                </c:pt>
                <c:pt idx="5">
                  <c:v>7.8</c:v>
                </c:pt>
                <c:pt idx="6">
                  <c:v>4.5999999999999996</c:v>
                </c:pt>
                <c:pt idx="7">
                  <c:v>10.1</c:v>
                </c:pt>
                <c:pt idx="8">
                  <c:v>9.9</c:v>
                </c:pt>
                <c:pt idx="9">
                  <c:v>15.4</c:v>
                </c:pt>
                <c:pt idx="10">
                  <c:v>13.3</c:v>
                </c:pt>
                <c:pt idx="11">
                  <c:v>9.1999999999999993</c:v>
                </c:pt>
                <c:pt idx="12">
                  <c:v>9.9</c:v>
                </c:pt>
                <c:pt idx="13">
                  <c:v>9.1999999999999993</c:v>
                </c:pt>
                <c:pt idx="14">
                  <c:v>14.7</c:v>
                </c:pt>
                <c:pt idx="15">
                  <c:v>14.7</c:v>
                </c:pt>
                <c:pt idx="16">
                  <c:v>19.100000000000001</c:v>
                </c:pt>
                <c:pt idx="17">
                  <c:v>17.899999999999999</c:v>
                </c:pt>
                <c:pt idx="18">
                  <c:v>20</c:v>
                </c:pt>
                <c:pt idx="19">
                  <c:v>24.8</c:v>
                </c:pt>
                <c:pt idx="20">
                  <c:v>20.5</c:v>
                </c:pt>
                <c:pt idx="21">
                  <c:v>14.5</c:v>
                </c:pt>
                <c:pt idx="22">
                  <c:v>22.1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43776"/>
        <c:axId val="127245696"/>
      </c:scatterChart>
      <c:valAx>
        <c:axId val="127243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Fuel Mass Flow Rate at the Smoke Point</a:t>
                </a:r>
              </a:p>
            </c:rich>
          </c:tx>
          <c:layout>
            <c:manualLayout>
              <c:xMode val="edge"/>
              <c:yMode val="edge"/>
              <c:x val="0.29054126567512395"/>
              <c:y val="0.906494597266250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245696"/>
        <c:crosses val="autoZero"/>
        <c:crossBetween val="midCat"/>
      </c:valAx>
      <c:valAx>
        <c:axId val="1272456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Maximum Soot Volume Fraction</a:t>
                </a:r>
              </a:p>
            </c:rich>
          </c:tx>
          <c:layout>
            <c:manualLayout>
              <c:xMode val="edge"/>
              <c:yMode val="edge"/>
              <c:x val="3.6036162146398369E-2"/>
              <c:y val="0.21818209087500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2437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33766233766234"/>
          <c:y val="6.7724475617018484E-2"/>
          <c:w val="0.78640692640692622"/>
          <c:h val="0.78372762228250903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Datasheet'!$S$5:$S$9</c:f>
              <c:numCache>
                <c:formatCode>General</c:formatCode>
                <c:ptCount val="5"/>
                <c:pt idx="0">
                  <c:v>75.354798590478822</c:v>
                </c:pt>
                <c:pt idx="1">
                  <c:v>53.989152214468319</c:v>
                </c:pt>
                <c:pt idx="2">
                  <c:v>55.827057279071376</c:v>
                </c:pt>
                <c:pt idx="3">
                  <c:v>57.504493971454878</c:v>
                </c:pt>
                <c:pt idx="4">
                  <c:v>36.988530366890075</c:v>
                </c:pt>
              </c:numCache>
            </c:numRef>
          </c:xVal>
          <c:yVal>
            <c:numRef>
              <c:f>'Smoke Point Datasheet'!$AX$5:$AX$9</c:f>
              <c:numCache>
                <c:formatCode>General</c:formatCode>
                <c:ptCount val="5"/>
                <c:pt idx="0">
                  <c:v>64.913690531011881</c:v>
                </c:pt>
                <c:pt idx="1">
                  <c:v>80.36928232884641</c:v>
                </c:pt>
                <c:pt idx="2">
                  <c:v>71.152295273133362</c:v>
                </c:pt>
                <c:pt idx="3">
                  <c:v>78.969797918572468</c:v>
                </c:pt>
                <c:pt idx="4">
                  <c:v>99.764418726516126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Datasheet'!$S$10</c:f>
              <c:numCache>
                <c:formatCode>General</c:formatCode>
                <c:ptCount val="1"/>
                <c:pt idx="0">
                  <c:v>105.22075589027845</c:v>
                </c:pt>
              </c:numCache>
            </c:numRef>
          </c:xVal>
          <c:yVal>
            <c:numRef>
              <c:f>'Smoke Point Datasheet'!$AX$10</c:f>
              <c:numCache>
                <c:formatCode>General</c:formatCode>
                <c:ptCount val="1"/>
                <c:pt idx="0">
                  <c:v>298.8633968834431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Datasheet'!$S$11:$S$13</c:f>
              <c:numCache>
                <c:formatCode>General</c:formatCode>
                <c:ptCount val="3"/>
                <c:pt idx="0">
                  <c:v>71.383567938857453</c:v>
                </c:pt>
                <c:pt idx="1">
                  <c:v>61.119455328205881</c:v>
                </c:pt>
                <c:pt idx="2">
                  <c:v>45.522586348649611</c:v>
                </c:pt>
              </c:numCache>
            </c:numRef>
          </c:xVal>
          <c:yVal>
            <c:numRef>
              <c:f>'Smoke Point Datasheet'!$AX$11:$AX$13</c:f>
              <c:numCache>
                <c:formatCode>General</c:formatCode>
                <c:ptCount val="3"/>
                <c:pt idx="0">
                  <c:v>79.54680359527714</c:v>
                </c:pt>
                <c:pt idx="1">
                  <c:v>83.94563239486547</c:v>
                </c:pt>
                <c:pt idx="2">
                  <c:v>102.08266949233746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Datasheet'!$S$14:$S$16</c:f>
              <c:numCache>
                <c:formatCode>General</c:formatCode>
                <c:ptCount val="3"/>
                <c:pt idx="0">
                  <c:v>105.45049402335384</c:v>
                </c:pt>
                <c:pt idx="1">
                  <c:v>75.584536723554208</c:v>
                </c:pt>
                <c:pt idx="2">
                  <c:v>64.327368202860498</c:v>
                </c:pt>
              </c:numCache>
            </c:numRef>
          </c:xVal>
          <c:yVal>
            <c:numRef>
              <c:f>'Smoke Point Datasheet'!$AX$14:$AX$16</c:f>
              <c:numCache>
                <c:formatCode>General</c:formatCode>
                <c:ptCount val="3"/>
                <c:pt idx="0">
                  <c:v>156.92805907983535</c:v>
                </c:pt>
                <c:pt idx="1">
                  <c:v>176.88368082863991</c:v>
                </c:pt>
                <c:pt idx="2">
                  <c:v>193.04936061055261</c:v>
                </c:pt>
              </c:numCache>
            </c:numRef>
          </c:yVal>
          <c:smooth val="0"/>
        </c:ser>
        <c:ser>
          <c:idx val="3"/>
          <c:order val="4"/>
          <c:tx>
            <c:v>75% Propylene 1.6mm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Datasheet'!$S$17:$S$28</c:f>
              <c:numCache>
                <c:formatCode>General</c:formatCode>
                <c:ptCount val="12"/>
                <c:pt idx="0">
                  <c:v>37.67774476611622</c:v>
                </c:pt>
                <c:pt idx="1">
                  <c:v>35.839839701513156</c:v>
                </c:pt>
                <c:pt idx="2">
                  <c:v>31.704553306156285</c:v>
                </c:pt>
                <c:pt idx="3">
                  <c:v>26.650314378497882</c:v>
                </c:pt>
                <c:pt idx="4">
                  <c:v>21.13659918468872</c:v>
                </c:pt>
                <c:pt idx="5">
                  <c:v>14.474193325502654</c:v>
                </c:pt>
                <c:pt idx="6">
                  <c:v>14.158540794131824</c:v>
                </c:pt>
                <c:pt idx="7">
                  <c:v>20.364052322316638</c:v>
                </c:pt>
                <c:pt idx="8">
                  <c:v>15.608727809261254</c:v>
                </c:pt>
                <c:pt idx="9">
                  <c:v>17.881738322287148</c:v>
                </c:pt>
                <c:pt idx="10">
                  <c:v>39.515649830719269</c:v>
                </c:pt>
                <c:pt idx="11">
                  <c:v>21.973157245733759</c:v>
                </c:pt>
              </c:numCache>
            </c:numRef>
          </c:xVal>
          <c:yVal>
            <c:numRef>
              <c:f>'Smoke Point Datasheet'!$AX$17:$AX$26</c:f>
              <c:numCache>
                <c:formatCode>General</c:formatCode>
                <c:ptCount val="10"/>
                <c:pt idx="0">
                  <c:v>29.159825622789061</c:v>
                </c:pt>
                <c:pt idx="1">
                  <c:v>30.39036090458541</c:v>
                </c:pt>
                <c:pt idx="2">
                  <c:v>30.816783009750345</c:v>
                </c:pt>
                <c:pt idx="3">
                  <c:v>31.697029019787067</c:v>
                </c:pt>
                <c:pt idx="4">
                  <c:v>36.600151830807391</c:v>
                </c:pt>
                <c:pt idx="5">
                  <c:v>56.145394353485585</c:v>
                </c:pt>
                <c:pt idx="6">
                  <c:v>54.921360963431397</c:v>
                </c:pt>
                <c:pt idx="7">
                  <c:v>37.719853621892476</c:v>
                </c:pt>
                <c:pt idx="8">
                  <c:v>46.871493283335305</c:v>
                </c:pt>
                <c:pt idx="9">
                  <c:v>38.485011590670695</c:v>
                </c:pt>
              </c:numCache>
            </c:numRef>
          </c:yVal>
          <c:smooth val="0"/>
        </c:ser>
        <c:ser>
          <c:idx val="6"/>
          <c:order val="5"/>
          <c:tx>
            <c:v>Propylene 1.6mm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Datasheet'!$S$38:$S$47</c:f>
              <c:numCache>
                <c:formatCode>General</c:formatCode>
                <c:ptCount val="10"/>
                <c:pt idx="0">
                  <c:v>25.731627702244865</c:v>
                </c:pt>
                <c:pt idx="1">
                  <c:v>19.634050140212551</c:v>
                </c:pt>
                <c:pt idx="2">
                  <c:v>15.794834638192199</c:v>
                </c:pt>
                <c:pt idx="3">
                  <c:v>13.988144990182633</c:v>
                </c:pt>
                <c:pt idx="4">
                  <c:v>15.486779909668897</c:v>
                </c:pt>
                <c:pt idx="5">
                  <c:v>13.416820766403589</c:v>
                </c:pt>
                <c:pt idx="6">
                  <c:v>17.556739052934205</c:v>
                </c:pt>
                <c:pt idx="7">
                  <c:v>26.526562007083882</c:v>
                </c:pt>
                <c:pt idx="8">
                  <c:v>23.076630101641697</c:v>
                </c:pt>
                <c:pt idx="9">
                  <c:v>19.396702735836712</c:v>
                </c:pt>
              </c:numCache>
            </c:numRef>
          </c:xVal>
          <c:yVal>
            <c:numRef>
              <c:f>'Smoke Point Datasheet'!$AX$38:$AX$47</c:f>
              <c:numCache>
                <c:formatCode>General</c:formatCode>
                <c:ptCount val="10"/>
                <c:pt idx="0">
                  <c:v>25.014115221387495</c:v>
                </c:pt>
                <c:pt idx="1">
                  <c:v>29.244296277799876</c:v>
                </c:pt>
                <c:pt idx="2">
                  <c:v>35.434498102032606</c:v>
                </c:pt>
                <c:pt idx="3">
                  <c:v>76.630329739518785</c:v>
                </c:pt>
                <c:pt idx="4">
                  <c:v>37.942121733860418</c:v>
                </c:pt>
                <c:pt idx="5">
                  <c:v>66.639568649691142</c:v>
                </c:pt>
                <c:pt idx="6">
                  <c:v>29.449186106427085</c:v>
                </c:pt>
                <c:pt idx="7">
                  <c:v>23.238762373651504</c:v>
                </c:pt>
                <c:pt idx="8">
                  <c:v>24.690519457391378</c:v>
                </c:pt>
                <c:pt idx="9">
                  <c:v>24.153477237909254</c:v>
                </c:pt>
              </c:numCache>
            </c:numRef>
          </c:yVal>
          <c:smooth val="0"/>
        </c:ser>
        <c:ser>
          <c:idx val="8"/>
          <c:order val="6"/>
          <c:tx>
            <c:v>Propylene 0.41mm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80808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Datasheet'!$S$56:$S$59</c:f>
              <c:numCache>
                <c:formatCode>General</c:formatCode>
                <c:ptCount val="4"/>
                <c:pt idx="0">
                  <c:v>53.283644834390898</c:v>
                </c:pt>
                <c:pt idx="1">
                  <c:v>46.96023106635738</c:v>
                </c:pt>
                <c:pt idx="2">
                  <c:v>59.185917378603172</c:v>
                </c:pt>
                <c:pt idx="3">
                  <c:v>37.700946620308301</c:v>
                </c:pt>
              </c:numCache>
            </c:numRef>
          </c:xVal>
          <c:yVal>
            <c:numRef>
              <c:f>'Smoke Point Datasheet'!$AX$56:$AX$59</c:f>
              <c:numCache>
                <c:formatCode>General</c:formatCode>
                <c:ptCount val="4"/>
                <c:pt idx="0">
                  <c:v>98.62543127634224</c:v>
                </c:pt>
                <c:pt idx="1">
                  <c:v>158.86459544389808</c:v>
                </c:pt>
                <c:pt idx="2">
                  <c:v>293.72886407760853</c:v>
                </c:pt>
                <c:pt idx="3">
                  <c:v>351.07330166725291</c:v>
                </c:pt>
              </c:numCache>
            </c:numRef>
          </c:yVal>
          <c:smooth val="0"/>
        </c:ser>
        <c:ser>
          <c:idx val="7"/>
          <c:order val="7"/>
          <c:tx>
            <c:v>Propylene 0.76mm</c:v>
          </c:tx>
          <c:spPr>
            <a:ln w="28575">
              <a:noFill/>
            </a:ln>
          </c:spPr>
          <c:marker>
            <c:symbol val="diamond"/>
            <c:size val="5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Datasheet'!$S$48:$S$55</c:f>
              <c:numCache>
                <c:formatCode>General</c:formatCode>
                <c:ptCount val="8"/>
                <c:pt idx="0">
                  <c:v>26.634972526249655</c:v>
                </c:pt>
                <c:pt idx="1">
                  <c:v>22.795757024229317</c:v>
                </c:pt>
                <c:pt idx="2">
                  <c:v>21.666575994223322</c:v>
                </c:pt>
                <c:pt idx="3">
                  <c:v>21.926652799827636</c:v>
                </c:pt>
                <c:pt idx="4">
                  <c:v>15.946770830394527</c:v>
                </c:pt>
                <c:pt idx="5">
                  <c:v>31.816457595428545</c:v>
                </c:pt>
                <c:pt idx="6">
                  <c:v>26.296566546721067</c:v>
                </c:pt>
                <c:pt idx="7">
                  <c:v>14.213981196183823</c:v>
                </c:pt>
              </c:numCache>
            </c:numRef>
          </c:xVal>
          <c:yVal>
            <c:numRef>
              <c:f>'Smoke Point Datasheet'!$AX$48:$AX$55</c:f>
              <c:numCache>
                <c:formatCode>General</c:formatCode>
                <c:ptCount val="8"/>
                <c:pt idx="0">
                  <c:v>32.392739846489484</c:v>
                </c:pt>
                <c:pt idx="1">
                  <c:v>39.459684026754047</c:v>
                </c:pt>
                <c:pt idx="2">
                  <c:v>40.118438357449939</c:v>
                </c:pt>
                <c:pt idx="3">
                  <c:v>45.337677835889394</c:v>
                </c:pt>
                <c:pt idx="4">
                  <c:v>61.838982591310042</c:v>
                </c:pt>
                <c:pt idx="5">
                  <c:v>31.488145426876947</c:v>
                </c:pt>
                <c:pt idx="6">
                  <c:v>41.467385904295526</c:v>
                </c:pt>
                <c:pt idx="7">
                  <c:v>98.028070465535507</c:v>
                </c:pt>
              </c:numCache>
            </c:numRef>
          </c:yVal>
          <c:smooth val="0"/>
        </c:ser>
        <c:ser>
          <c:idx val="5"/>
          <c:order val="8"/>
          <c:tx>
            <c:v>50% Propylene, 1.6mm</c:v>
          </c:tx>
          <c:spPr>
            <a:ln w="28575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Datasheet'!$S$31:$S$37</c:f>
              <c:numCache>
                <c:formatCode>General</c:formatCode>
                <c:ptCount val="7"/>
                <c:pt idx="0">
                  <c:v>41.72808115184219</c:v>
                </c:pt>
                <c:pt idx="1">
                  <c:v>32.501314628506648</c:v>
                </c:pt>
                <c:pt idx="2">
                  <c:v>26.515626471498351</c:v>
                </c:pt>
                <c:pt idx="3">
                  <c:v>33.41256921447696</c:v>
                </c:pt>
                <c:pt idx="4">
                  <c:v>42.378594780349147</c:v>
                </c:pt>
                <c:pt idx="5">
                  <c:v>49.505435614760387</c:v>
                </c:pt>
                <c:pt idx="6">
                  <c:v>22.121202289754166</c:v>
                </c:pt>
              </c:numCache>
            </c:numRef>
          </c:xVal>
          <c:yVal>
            <c:numRef>
              <c:f>'Smoke Point Datasheet'!$AX$31:$AX$37</c:f>
              <c:numCache>
                <c:formatCode>General</c:formatCode>
                <c:ptCount val="7"/>
                <c:pt idx="0">
                  <c:v>51.933559463993319</c:v>
                </c:pt>
                <c:pt idx="1">
                  <c:v>62.347570048810049</c:v>
                </c:pt>
                <c:pt idx="2">
                  <c:v>102.81453309011596</c:v>
                </c:pt>
                <c:pt idx="3">
                  <c:v>64.09609249617921</c:v>
                </c:pt>
                <c:pt idx="4">
                  <c:v>52.743051442597299</c:v>
                </c:pt>
                <c:pt idx="5">
                  <c:v>50.889743427635601</c:v>
                </c:pt>
                <c:pt idx="6">
                  <c:v>100.42879560743101</c:v>
                </c:pt>
              </c:numCache>
            </c:numRef>
          </c:yVal>
          <c:smooth val="0"/>
        </c:ser>
        <c:ser>
          <c:idx val="4"/>
          <c:order val="9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chemeClr val="bg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Datasheet'!$S$27:$S$30</c:f>
              <c:numCache>
                <c:formatCode>General</c:formatCode>
                <c:ptCount val="4"/>
                <c:pt idx="0">
                  <c:v>39.515649830719269</c:v>
                </c:pt>
                <c:pt idx="1">
                  <c:v>21.973157245733759</c:v>
                </c:pt>
                <c:pt idx="2">
                  <c:v>20.154748835313043</c:v>
                </c:pt>
                <c:pt idx="3">
                  <c:v>43.97615819320869</c:v>
                </c:pt>
              </c:numCache>
            </c:numRef>
          </c:xVal>
          <c:yVal>
            <c:numRef>
              <c:f>'Smoke Point Datasheet'!$AX$27:$AX$30</c:f>
              <c:numCache>
                <c:formatCode>General</c:formatCode>
                <c:ptCount val="4"/>
                <c:pt idx="0">
                  <c:v>52.885320190614067</c:v>
                </c:pt>
                <c:pt idx="1">
                  <c:v>74.345737106109027</c:v>
                </c:pt>
                <c:pt idx="2">
                  <c:v>68.193039369949886</c:v>
                </c:pt>
                <c:pt idx="3">
                  <c:v>57.40934354034588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91232"/>
        <c:axId val="127397888"/>
      </c:scatterChart>
      <c:valAx>
        <c:axId val="127391232"/>
        <c:scaling>
          <c:orientation val="minMax"/>
          <c:max val="1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L</a:t>
                </a:r>
                <a:r>
                  <a:rPr lang="en-US" sz="8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SP</a:t>
                </a: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(mm)</a:t>
                </a:r>
              </a:p>
            </c:rich>
          </c:tx>
          <c:layout>
            <c:manualLayout>
              <c:xMode val="edge"/>
              <c:yMode val="edge"/>
              <c:x val="0.41558438528517266"/>
              <c:y val="0.92753935169868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397888"/>
        <c:crosses val="autoZero"/>
        <c:crossBetween val="midCat"/>
        <c:majorUnit val="20"/>
        <c:minorUnit val="10"/>
      </c:valAx>
      <c:valAx>
        <c:axId val="127397888"/>
        <c:scaling>
          <c:orientation val="minMax"/>
          <c:max val="4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</a:t>
                </a:r>
                <a:r>
                  <a:rPr lang="en-US" sz="8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form  </a:t>
                </a: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(ms)</a:t>
                </a:r>
              </a:p>
            </c:rich>
          </c:tx>
          <c:layout>
            <c:manualLayout>
              <c:xMode val="edge"/>
              <c:yMode val="edge"/>
              <c:x val="1.6233637461983919E-2"/>
              <c:y val="0.3937210789827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391232"/>
        <c:crosses val="autoZero"/>
        <c:crossBetween val="midCat"/>
        <c:majorUnit val="100"/>
        <c:minorUnit val="5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33766233766234"/>
          <c:y val="6.7724475617018484E-2"/>
          <c:w val="0.786406926406926"/>
          <c:h val="0.78372762228250925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Datasheet'!$S$5:$S$9</c:f>
              <c:numCache>
                <c:formatCode>General</c:formatCode>
                <c:ptCount val="5"/>
                <c:pt idx="0">
                  <c:v>75.354798590478822</c:v>
                </c:pt>
                <c:pt idx="1">
                  <c:v>53.989152214468319</c:v>
                </c:pt>
                <c:pt idx="2">
                  <c:v>55.827057279071376</c:v>
                </c:pt>
                <c:pt idx="3">
                  <c:v>57.504493971454878</c:v>
                </c:pt>
                <c:pt idx="4">
                  <c:v>36.988530366890075</c:v>
                </c:pt>
              </c:numCache>
            </c:numRef>
          </c:xVal>
          <c:yVal>
            <c:numRef>
              <c:f>'Smoke Point Datasheet'!$AY$5:$AY$9</c:f>
              <c:numCache>
                <c:formatCode>General</c:formatCode>
                <c:ptCount val="5"/>
                <c:pt idx="0">
                  <c:v>64.928952704084864</c:v>
                </c:pt>
                <c:pt idx="1">
                  <c:v>80.389284653452265</c:v>
                </c:pt>
                <c:pt idx="2">
                  <c:v>71.169492945033724</c:v>
                </c:pt>
                <c:pt idx="3">
                  <c:v>78.989180198666119</c:v>
                </c:pt>
                <c:pt idx="4">
                  <c:v>99.789771327310845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Datasheet'!$S$10</c:f>
              <c:numCache>
                <c:formatCode>General</c:formatCode>
                <c:ptCount val="1"/>
                <c:pt idx="0">
                  <c:v>105.22075589027845</c:v>
                </c:pt>
              </c:numCache>
            </c:numRef>
          </c:xVal>
          <c:yVal>
            <c:numRef>
              <c:f>'Smoke Point Datasheet'!$AY$10</c:f>
              <c:numCache>
                <c:formatCode>General</c:formatCode>
                <c:ptCount val="1"/>
                <c:pt idx="0">
                  <c:v>298.89067195226164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Datasheet'!$S$11:$S$13</c:f>
              <c:numCache>
                <c:formatCode>General</c:formatCode>
                <c:ptCount val="3"/>
                <c:pt idx="0">
                  <c:v>71.383567938857453</c:v>
                </c:pt>
                <c:pt idx="1">
                  <c:v>61.119455328205881</c:v>
                </c:pt>
                <c:pt idx="2">
                  <c:v>45.522586348649611</c:v>
                </c:pt>
              </c:numCache>
            </c:numRef>
          </c:xVal>
          <c:yVal>
            <c:numRef>
              <c:f>'Smoke Point Datasheet'!$AY$11:$AY$13</c:f>
              <c:numCache>
                <c:formatCode>General</c:formatCode>
                <c:ptCount val="3"/>
                <c:pt idx="0">
                  <c:v>79.563032402957674</c:v>
                </c:pt>
                <c:pt idx="1">
                  <c:v>83.962954751665279</c:v>
                </c:pt>
                <c:pt idx="2">
                  <c:v>102.10537877935192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Datasheet'!$S$14:$S$16</c:f>
              <c:numCache>
                <c:formatCode>General</c:formatCode>
                <c:ptCount val="3"/>
                <c:pt idx="0">
                  <c:v>105.45049402335384</c:v>
                </c:pt>
                <c:pt idx="1">
                  <c:v>75.584536723554208</c:v>
                </c:pt>
                <c:pt idx="2">
                  <c:v>64.327368202860498</c:v>
                </c:pt>
              </c:numCache>
            </c:numRef>
          </c:xVal>
          <c:yVal>
            <c:numRef>
              <c:f>'Smoke Point Datasheet'!$AY$14:$AY$16</c:f>
              <c:numCache>
                <c:formatCode>General</c:formatCode>
                <c:ptCount val="3"/>
                <c:pt idx="0">
                  <c:v>156.95848087595311</c:v>
                </c:pt>
                <c:pt idx="1">
                  <c:v>176.91747446541922</c:v>
                </c:pt>
                <c:pt idx="2">
                  <c:v>193.08424694348597</c:v>
                </c:pt>
              </c:numCache>
            </c:numRef>
          </c:yVal>
          <c:smooth val="0"/>
        </c:ser>
        <c:ser>
          <c:idx val="3"/>
          <c:order val="4"/>
          <c:tx>
            <c:v>75% Propylene 1.6mm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Datasheet'!$S$17:$S$28</c:f>
              <c:numCache>
                <c:formatCode>General</c:formatCode>
                <c:ptCount val="12"/>
                <c:pt idx="0">
                  <c:v>37.67774476611622</c:v>
                </c:pt>
                <c:pt idx="1">
                  <c:v>35.839839701513156</c:v>
                </c:pt>
                <c:pt idx="2">
                  <c:v>31.704553306156285</c:v>
                </c:pt>
                <c:pt idx="3">
                  <c:v>26.650314378497882</c:v>
                </c:pt>
                <c:pt idx="4">
                  <c:v>21.13659918468872</c:v>
                </c:pt>
                <c:pt idx="5">
                  <c:v>14.474193325502654</c:v>
                </c:pt>
                <c:pt idx="6">
                  <c:v>14.158540794131824</c:v>
                </c:pt>
                <c:pt idx="7">
                  <c:v>20.364052322316638</c:v>
                </c:pt>
                <c:pt idx="8">
                  <c:v>15.608727809261254</c:v>
                </c:pt>
                <c:pt idx="9">
                  <c:v>17.881738322287148</c:v>
                </c:pt>
                <c:pt idx="10">
                  <c:v>39.515649830719269</c:v>
                </c:pt>
                <c:pt idx="11">
                  <c:v>21.973157245733759</c:v>
                </c:pt>
              </c:numCache>
            </c:numRef>
          </c:xVal>
          <c:yVal>
            <c:numRef>
              <c:f>'Smoke Point Datasheet'!$AY$17:$AY$26</c:f>
              <c:numCache>
                <c:formatCode>General</c:formatCode>
                <c:ptCount val="10"/>
                <c:pt idx="0">
                  <c:v>29.162344498710585</c:v>
                </c:pt>
                <c:pt idx="1">
                  <c:v>30.393651476877526</c:v>
                </c:pt>
                <c:pt idx="2">
                  <c:v>30.819239114987766</c:v>
                </c:pt>
                <c:pt idx="3">
                  <c:v>31.700418694787501</c:v>
                </c:pt>
                <c:pt idx="4">
                  <c:v>36.604744595343035</c:v>
                </c:pt>
                <c:pt idx="5">
                  <c:v>56.1558051708856</c:v>
                </c:pt>
                <c:pt idx="6">
                  <c:v>54.931379599529706</c:v>
                </c:pt>
                <c:pt idx="7">
                  <c:v>37.724276648364444</c:v>
                </c:pt>
                <c:pt idx="8">
                  <c:v>46.878371718619469</c:v>
                </c:pt>
                <c:pt idx="9">
                  <c:v>38.489323638674847</c:v>
                </c:pt>
              </c:numCache>
            </c:numRef>
          </c:yVal>
          <c:smooth val="0"/>
        </c:ser>
        <c:ser>
          <c:idx val="6"/>
          <c:order val="5"/>
          <c:tx>
            <c:v>Propylene 1.6mm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Datasheet'!$S$38:$S$47</c:f>
              <c:numCache>
                <c:formatCode>General</c:formatCode>
                <c:ptCount val="10"/>
                <c:pt idx="0">
                  <c:v>25.731627702244865</c:v>
                </c:pt>
                <c:pt idx="1">
                  <c:v>19.634050140212551</c:v>
                </c:pt>
                <c:pt idx="2">
                  <c:v>15.794834638192199</c:v>
                </c:pt>
                <c:pt idx="3">
                  <c:v>13.988144990182633</c:v>
                </c:pt>
                <c:pt idx="4">
                  <c:v>15.486779909668897</c:v>
                </c:pt>
                <c:pt idx="5">
                  <c:v>13.416820766403589</c:v>
                </c:pt>
                <c:pt idx="6">
                  <c:v>17.556739052934205</c:v>
                </c:pt>
                <c:pt idx="7">
                  <c:v>26.526562007083882</c:v>
                </c:pt>
                <c:pt idx="8">
                  <c:v>23.076630101641697</c:v>
                </c:pt>
                <c:pt idx="9">
                  <c:v>19.396702735836712</c:v>
                </c:pt>
              </c:numCache>
            </c:numRef>
          </c:xVal>
          <c:yVal>
            <c:numRef>
              <c:f>'Smoke Point Datasheet'!$AY$38:$AY$47</c:f>
              <c:numCache>
                <c:formatCode>General</c:formatCode>
                <c:ptCount val="10"/>
                <c:pt idx="0">
                  <c:v>25.014954997818489</c:v>
                </c:pt>
                <c:pt idx="1">
                  <c:v>29.243493985847365</c:v>
                </c:pt>
                <c:pt idx="2">
                  <c:v>35.433591894194706</c:v>
                </c:pt>
                <c:pt idx="3">
                  <c:v>76.641399850797811</c:v>
                </c:pt>
                <c:pt idx="4">
                  <c:v>37.94327671548875</c:v>
                </c:pt>
                <c:pt idx="5">
                  <c:v>66.646331565036519</c:v>
                </c:pt>
                <c:pt idx="6">
                  <c:v>29.448244316640228</c:v>
                </c:pt>
                <c:pt idx="7">
                  <c:v>23.238763671083809</c:v>
                </c:pt>
                <c:pt idx="8">
                  <c:v>24.690309325523462</c:v>
                </c:pt>
                <c:pt idx="9">
                  <c:v>24.15541879607407</c:v>
                </c:pt>
              </c:numCache>
            </c:numRef>
          </c:yVal>
          <c:smooth val="0"/>
        </c:ser>
        <c:ser>
          <c:idx val="8"/>
          <c:order val="6"/>
          <c:tx>
            <c:v>Propylene 0.41mm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80808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Datasheet'!$S$56:$S$59</c:f>
              <c:numCache>
                <c:formatCode>General</c:formatCode>
                <c:ptCount val="4"/>
                <c:pt idx="0">
                  <c:v>53.283644834390898</c:v>
                </c:pt>
                <c:pt idx="1">
                  <c:v>46.96023106635738</c:v>
                </c:pt>
                <c:pt idx="2">
                  <c:v>59.185917378603172</c:v>
                </c:pt>
                <c:pt idx="3">
                  <c:v>37.700946620308301</c:v>
                </c:pt>
              </c:numCache>
            </c:numRef>
          </c:xVal>
          <c:yVal>
            <c:numRef>
              <c:f>'Smoke Point Datasheet'!$AY$56:$AY$59</c:f>
              <c:numCache>
                <c:formatCode>General</c:formatCode>
                <c:ptCount val="4"/>
                <c:pt idx="0">
                  <c:v>98.639936003731563</c:v>
                </c:pt>
                <c:pt idx="1">
                  <c:v>158.88277380450083</c:v>
                </c:pt>
                <c:pt idx="2">
                  <c:v>293.74879322023247</c:v>
                </c:pt>
                <c:pt idx="3">
                  <c:v>351.09385623345992</c:v>
                </c:pt>
              </c:numCache>
            </c:numRef>
          </c:yVal>
          <c:smooth val="0"/>
        </c:ser>
        <c:ser>
          <c:idx val="7"/>
          <c:order val="7"/>
          <c:tx>
            <c:v>Propylene 0.76mm</c:v>
          </c:tx>
          <c:spPr>
            <a:ln w="28575">
              <a:noFill/>
            </a:ln>
          </c:spPr>
          <c:marker>
            <c:symbol val="diamond"/>
            <c:size val="5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Datasheet'!$S$48:$S$55</c:f>
              <c:numCache>
                <c:formatCode>General</c:formatCode>
                <c:ptCount val="8"/>
                <c:pt idx="0">
                  <c:v>26.634972526249655</c:v>
                </c:pt>
                <c:pt idx="1">
                  <c:v>22.795757024229317</c:v>
                </c:pt>
                <c:pt idx="2">
                  <c:v>21.666575994223322</c:v>
                </c:pt>
                <c:pt idx="3">
                  <c:v>21.926652799827636</c:v>
                </c:pt>
                <c:pt idx="4">
                  <c:v>15.946770830394527</c:v>
                </c:pt>
                <c:pt idx="5">
                  <c:v>31.816457595428545</c:v>
                </c:pt>
                <c:pt idx="6">
                  <c:v>26.296566546721067</c:v>
                </c:pt>
                <c:pt idx="7">
                  <c:v>14.213981196183823</c:v>
                </c:pt>
              </c:numCache>
            </c:numRef>
          </c:xVal>
          <c:yVal>
            <c:numRef>
              <c:f>'Smoke Point Datasheet'!$AY$48:$AY$55</c:f>
              <c:numCache>
                <c:formatCode>General</c:formatCode>
                <c:ptCount val="8"/>
                <c:pt idx="0">
                  <c:v>32.400796487887128</c:v>
                </c:pt>
                <c:pt idx="1">
                  <c:v>39.469788532872329</c:v>
                </c:pt>
                <c:pt idx="2">
                  <c:v>40.128701203561</c:v>
                </c:pt>
                <c:pt idx="3">
                  <c:v>45.349414501964688</c:v>
                </c:pt>
                <c:pt idx="4">
                  <c:v>61.855260736885413</c:v>
                </c:pt>
                <c:pt idx="5">
                  <c:v>31.496085327649915</c:v>
                </c:pt>
                <c:pt idx="6">
                  <c:v>41.478078053009554</c:v>
                </c:pt>
                <c:pt idx="7">
                  <c:v>98.051650813170767</c:v>
                </c:pt>
              </c:numCache>
            </c:numRef>
          </c:yVal>
          <c:smooth val="0"/>
        </c:ser>
        <c:ser>
          <c:idx val="5"/>
          <c:order val="8"/>
          <c:tx>
            <c:v>50% Propylene, 1.6mm</c:v>
          </c:tx>
          <c:spPr>
            <a:ln w="28575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Datasheet'!$S$31:$S$37</c:f>
              <c:numCache>
                <c:formatCode>General</c:formatCode>
                <c:ptCount val="7"/>
                <c:pt idx="0">
                  <c:v>41.72808115184219</c:v>
                </c:pt>
                <c:pt idx="1">
                  <c:v>32.501314628506648</c:v>
                </c:pt>
                <c:pt idx="2">
                  <c:v>26.515626471498351</c:v>
                </c:pt>
                <c:pt idx="3">
                  <c:v>33.41256921447696</c:v>
                </c:pt>
                <c:pt idx="4">
                  <c:v>42.378594780349147</c:v>
                </c:pt>
                <c:pt idx="5">
                  <c:v>49.505435614760387</c:v>
                </c:pt>
                <c:pt idx="6">
                  <c:v>22.121202289754166</c:v>
                </c:pt>
              </c:numCache>
            </c:numRef>
          </c:xVal>
          <c:yVal>
            <c:numRef>
              <c:f>'Smoke Point Datasheet'!$AY$31:$AY$37</c:f>
              <c:numCache>
                <c:formatCode>General</c:formatCode>
                <c:ptCount val="7"/>
                <c:pt idx="0">
                  <c:v>51.945435121668723</c:v>
                </c:pt>
                <c:pt idx="1">
                  <c:v>62.361901073718279</c:v>
                </c:pt>
                <c:pt idx="2">
                  <c:v>102.83742079571914</c:v>
                </c:pt>
                <c:pt idx="3">
                  <c:v>64.110939472161647</c:v>
                </c:pt>
                <c:pt idx="4">
                  <c:v>52.755130438850607</c:v>
                </c:pt>
                <c:pt idx="5">
                  <c:v>50.901382450083069</c:v>
                </c:pt>
                <c:pt idx="6">
                  <c:v>100.45028085116927</c:v>
                </c:pt>
              </c:numCache>
            </c:numRef>
          </c:yVal>
          <c:smooth val="0"/>
        </c:ser>
        <c:ser>
          <c:idx val="4"/>
          <c:order val="9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chemeClr val="bg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Datasheet'!$S$27:$S$30</c:f>
              <c:numCache>
                <c:formatCode>General</c:formatCode>
                <c:ptCount val="4"/>
                <c:pt idx="0">
                  <c:v>39.515649830719269</c:v>
                </c:pt>
                <c:pt idx="1">
                  <c:v>21.973157245733759</c:v>
                </c:pt>
                <c:pt idx="2">
                  <c:v>20.154748835313043</c:v>
                </c:pt>
                <c:pt idx="3">
                  <c:v>43.97615819320869</c:v>
                </c:pt>
              </c:numCache>
            </c:numRef>
          </c:xVal>
          <c:yVal>
            <c:numRef>
              <c:f>'Smoke Point Datasheet'!$AY$27:$AY$30</c:f>
              <c:numCache>
                <c:formatCode>General</c:formatCode>
                <c:ptCount val="4"/>
                <c:pt idx="0">
                  <c:v>52.89682367700172</c:v>
                </c:pt>
                <c:pt idx="1">
                  <c:v>74.362034949542988</c:v>
                </c:pt>
                <c:pt idx="2">
                  <c:v>68.207786281630277</c:v>
                </c:pt>
                <c:pt idx="3">
                  <c:v>57.422054978370078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26848"/>
        <c:axId val="127333504"/>
      </c:scatterChart>
      <c:valAx>
        <c:axId val="127326848"/>
        <c:scaling>
          <c:orientation val="minMax"/>
          <c:max val="1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L</a:t>
                </a:r>
                <a:r>
                  <a:rPr lang="en-US" sz="8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SP</a:t>
                </a: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(mm)</a:t>
                </a:r>
              </a:p>
            </c:rich>
          </c:tx>
          <c:layout>
            <c:manualLayout>
              <c:xMode val="edge"/>
              <c:yMode val="edge"/>
              <c:x val="0.41558453282511659"/>
              <c:y val="0.92753935169868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333504"/>
        <c:crosses val="autoZero"/>
        <c:crossBetween val="midCat"/>
        <c:majorUnit val="20"/>
        <c:minorUnit val="10"/>
      </c:valAx>
      <c:valAx>
        <c:axId val="127333504"/>
        <c:scaling>
          <c:orientation val="minMax"/>
          <c:max val="4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</a:t>
                </a:r>
                <a:r>
                  <a:rPr lang="en-US" sz="8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oxid  </a:t>
                </a: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(ms)</a:t>
                </a:r>
              </a:p>
            </c:rich>
          </c:tx>
          <c:layout>
            <c:manualLayout>
              <c:xMode val="edge"/>
              <c:yMode val="edge"/>
              <c:x val="1.6233846565357674E-2"/>
              <c:y val="0.3937210789827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326848"/>
        <c:crosses val="autoZero"/>
        <c:crossBetween val="midCat"/>
        <c:majorUnit val="100"/>
        <c:minorUnit val="5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33766233766234"/>
          <c:y val="6.7724475617018484E-2"/>
          <c:w val="0.786406926406926"/>
          <c:h val="0.78372762228250925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Datasheet'!$S$5:$S$9</c:f>
              <c:numCache>
                <c:formatCode>General</c:formatCode>
                <c:ptCount val="5"/>
                <c:pt idx="0">
                  <c:v>75.354798590478822</c:v>
                </c:pt>
                <c:pt idx="1">
                  <c:v>53.989152214468319</c:v>
                </c:pt>
                <c:pt idx="2">
                  <c:v>55.827057279071376</c:v>
                </c:pt>
                <c:pt idx="3">
                  <c:v>57.504493971454878</c:v>
                </c:pt>
                <c:pt idx="4">
                  <c:v>36.988530366890075</c:v>
                </c:pt>
              </c:numCache>
            </c:numRef>
          </c:xVal>
          <c:yVal>
            <c:numRef>
              <c:f>'Smoke Point Datasheet'!$AZ$5:$AZ$9</c:f>
              <c:numCache>
                <c:formatCode>General</c:formatCode>
                <c:ptCount val="5"/>
                <c:pt idx="0">
                  <c:v>0.99976494040890296</c:v>
                </c:pt>
                <c:pt idx="1">
                  <c:v>0.99975118170671529</c:v>
                </c:pt>
                <c:pt idx="2">
                  <c:v>0.99975835612720121</c:v>
                </c:pt>
                <c:pt idx="3">
                  <c:v>0.99975462107538138</c:v>
                </c:pt>
                <c:pt idx="4">
                  <c:v>0.99974593988484484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4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Datasheet'!$S$10</c:f>
              <c:numCache>
                <c:formatCode>General</c:formatCode>
                <c:ptCount val="1"/>
                <c:pt idx="0">
                  <c:v>105.22075589027845</c:v>
                </c:pt>
              </c:numCache>
            </c:numRef>
          </c:xVal>
          <c:yVal>
            <c:numRef>
              <c:f>'Smoke Point Datasheet'!$AZ$10</c:f>
              <c:numCache>
                <c:formatCode>General</c:formatCode>
                <c:ptCount val="1"/>
                <c:pt idx="0">
                  <c:v>0.99990874566730237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Datasheet'!$S$11:$S$13</c:f>
              <c:numCache>
                <c:formatCode>General</c:formatCode>
                <c:ptCount val="3"/>
                <c:pt idx="0">
                  <c:v>71.383567938857453</c:v>
                </c:pt>
                <c:pt idx="1">
                  <c:v>61.119455328205881</c:v>
                </c:pt>
                <c:pt idx="2">
                  <c:v>45.522586348649611</c:v>
                </c:pt>
              </c:numCache>
            </c:numRef>
          </c:xVal>
          <c:yVal>
            <c:numRef>
              <c:f>'Smoke Point Datasheet'!$AZ$11:$AZ$13</c:f>
              <c:numCache>
                <c:formatCode>General</c:formatCode>
                <c:ptCount val="3"/>
                <c:pt idx="0">
                  <c:v>0.99979602577741955</c:v>
                </c:pt>
                <c:pt idx="1">
                  <c:v>0.99979369048110511</c:v>
                </c:pt>
                <c:pt idx="2">
                  <c:v>0.99977758970892672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3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Datasheet'!$S$14:$S$16</c:f>
              <c:numCache>
                <c:formatCode>General</c:formatCode>
                <c:ptCount val="3"/>
                <c:pt idx="0">
                  <c:v>105.45049402335384</c:v>
                </c:pt>
                <c:pt idx="1">
                  <c:v>75.584536723554208</c:v>
                </c:pt>
                <c:pt idx="2">
                  <c:v>64.327368202860498</c:v>
                </c:pt>
              </c:numCache>
            </c:numRef>
          </c:xVal>
          <c:yVal>
            <c:numRef>
              <c:f>'Smoke Point Datasheet'!$AZ$14:$AZ$16</c:f>
              <c:numCache>
                <c:formatCode>General</c:formatCode>
                <c:ptCount val="3"/>
                <c:pt idx="0">
                  <c:v>0.99980617934151772</c:v>
                </c:pt>
                <c:pt idx="1">
                  <c:v>0.99980898643912131</c:v>
                </c:pt>
                <c:pt idx="2">
                  <c:v>0.99981932066708912</c:v>
                </c:pt>
              </c:numCache>
            </c:numRef>
          </c:yVal>
          <c:smooth val="0"/>
        </c:ser>
        <c:ser>
          <c:idx val="3"/>
          <c:order val="4"/>
          <c:tx>
            <c:v>75% Propylene 1.6mm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Datasheet'!$S$17:$S$28</c:f>
              <c:numCache>
                <c:formatCode>General</c:formatCode>
                <c:ptCount val="12"/>
                <c:pt idx="0">
                  <c:v>37.67774476611622</c:v>
                </c:pt>
                <c:pt idx="1">
                  <c:v>35.839839701513156</c:v>
                </c:pt>
                <c:pt idx="2">
                  <c:v>31.704553306156285</c:v>
                </c:pt>
                <c:pt idx="3">
                  <c:v>26.650314378497882</c:v>
                </c:pt>
                <c:pt idx="4">
                  <c:v>21.13659918468872</c:v>
                </c:pt>
                <c:pt idx="5">
                  <c:v>14.474193325502654</c:v>
                </c:pt>
                <c:pt idx="6">
                  <c:v>14.158540794131824</c:v>
                </c:pt>
                <c:pt idx="7">
                  <c:v>20.364052322316638</c:v>
                </c:pt>
                <c:pt idx="8">
                  <c:v>15.608727809261254</c:v>
                </c:pt>
                <c:pt idx="9">
                  <c:v>17.881738322287148</c:v>
                </c:pt>
                <c:pt idx="10">
                  <c:v>39.515649830719269</c:v>
                </c:pt>
                <c:pt idx="11">
                  <c:v>21.973157245733759</c:v>
                </c:pt>
              </c:numCache>
            </c:numRef>
          </c:xVal>
          <c:yVal>
            <c:numRef>
              <c:f>'Smoke Point Datasheet'!$AZ$17:$AZ$26</c:f>
              <c:numCache>
                <c:formatCode>General</c:formatCode>
                <c:ptCount val="10"/>
                <c:pt idx="0">
                  <c:v>0.99991362574015152</c:v>
                </c:pt>
                <c:pt idx="1">
                  <c:v>0.99989173488106164</c:v>
                </c:pt>
                <c:pt idx="2">
                  <c:v>0.99992030610398075</c:v>
                </c:pt>
                <c:pt idx="3">
                  <c:v>0.99989307160157503</c:v>
                </c:pt>
                <c:pt idx="4">
                  <c:v>0.99987453089520451</c:v>
                </c:pt>
                <c:pt idx="5">
                  <c:v>0.99981460834960278</c:v>
                </c:pt>
                <c:pt idx="6">
                  <c:v>0.99981761542907988</c:v>
                </c:pt>
                <c:pt idx="7">
                  <c:v>0.99988275384275238</c:v>
                </c:pt>
                <c:pt idx="8">
                  <c:v>0.99985327060151641</c:v>
                </c:pt>
                <c:pt idx="9">
                  <c:v>0.99988796768567223</c:v>
                </c:pt>
              </c:numCache>
            </c:numRef>
          </c:yVal>
          <c:smooth val="0"/>
        </c:ser>
        <c:ser>
          <c:idx val="6"/>
          <c:order val="5"/>
          <c:tx>
            <c:v>Propylene 1.6mm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Datasheet'!$S$38:$S$47</c:f>
              <c:numCache>
                <c:formatCode>General</c:formatCode>
                <c:ptCount val="10"/>
                <c:pt idx="0">
                  <c:v>25.731627702244865</c:v>
                </c:pt>
                <c:pt idx="1">
                  <c:v>19.634050140212551</c:v>
                </c:pt>
                <c:pt idx="2">
                  <c:v>15.794834638192199</c:v>
                </c:pt>
                <c:pt idx="3">
                  <c:v>13.988144990182633</c:v>
                </c:pt>
                <c:pt idx="4">
                  <c:v>15.486779909668897</c:v>
                </c:pt>
                <c:pt idx="5">
                  <c:v>13.416820766403589</c:v>
                </c:pt>
                <c:pt idx="6">
                  <c:v>17.556739052934205</c:v>
                </c:pt>
                <c:pt idx="7">
                  <c:v>26.526562007083882</c:v>
                </c:pt>
                <c:pt idx="8">
                  <c:v>23.076630101641697</c:v>
                </c:pt>
                <c:pt idx="9">
                  <c:v>19.396702735836712</c:v>
                </c:pt>
              </c:numCache>
            </c:numRef>
          </c:xVal>
          <c:yVal>
            <c:numRef>
              <c:f>'Smoke Point Datasheet'!$AZ$38:$AZ$47</c:f>
              <c:numCache>
                <c:formatCode>General</c:formatCode>
                <c:ptCount val="10"/>
                <c:pt idx="0">
                  <c:v>0.99996642902491462</c:v>
                </c:pt>
                <c:pt idx="1">
                  <c:v>1.0000274348869838</c:v>
                </c:pt>
                <c:pt idx="2">
                  <c:v>1.0000255748229139</c:v>
                </c:pt>
                <c:pt idx="3">
                  <c:v>0.99985555964138739</c:v>
                </c:pt>
                <c:pt idx="4">
                  <c:v>0.9999695603087474</c:v>
                </c:pt>
                <c:pt idx="5">
                  <c:v>0.99989852531734957</c:v>
                </c:pt>
                <c:pt idx="6">
                  <c:v>1.0000319811862715</c:v>
                </c:pt>
                <c:pt idx="7">
                  <c:v>0.99999994416947802</c:v>
                </c:pt>
                <c:pt idx="8">
                  <c:v>1.0000085107021199</c:v>
                </c:pt>
                <c:pt idx="9">
                  <c:v>0.99991962225200037</c:v>
                </c:pt>
              </c:numCache>
            </c:numRef>
          </c:yVal>
          <c:smooth val="0"/>
        </c:ser>
        <c:ser>
          <c:idx val="8"/>
          <c:order val="6"/>
          <c:tx>
            <c:v>Propylene 0.41mm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80808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Datasheet'!$S$56:$S$59</c:f>
              <c:numCache>
                <c:formatCode>General</c:formatCode>
                <c:ptCount val="4"/>
                <c:pt idx="0">
                  <c:v>53.283644834390898</c:v>
                </c:pt>
                <c:pt idx="1">
                  <c:v>46.96023106635738</c:v>
                </c:pt>
                <c:pt idx="2">
                  <c:v>59.185917378603172</c:v>
                </c:pt>
                <c:pt idx="3">
                  <c:v>37.700946620308301</c:v>
                </c:pt>
              </c:numCache>
            </c:numRef>
          </c:xVal>
          <c:yVal>
            <c:numRef>
              <c:f>'Smoke Point Datasheet'!$AZ$56:$AZ$59</c:f>
              <c:numCache>
                <c:formatCode>General</c:formatCode>
                <c:ptCount val="4"/>
                <c:pt idx="0">
                  <c:v>0.99985295278994535</c:v>
                </c:pt>
                <c:pt idx="1">
                  <c:v>0.99988558633407854</c:v>
                </c:pt>
                <c:pt idx="2">
                  <c:v>0.99993215583149986</c:v>
                </c:pt>
                <c:pt idx="3">
                  <c:v>0.9999414556368843</c:v>
                </c:pt>
              </c:numCache>
            </c:numRef>
          </c:yVal>
          <c:smooth val="0"/>
        </c:ser>
        <c:ser>
          <c:idx val="7"/>
          <c:order val="7"/>
          <c:tx>
            <c:v>Propylene 0.76mm</c:v>
          </c:tx>
          <c:spPr>
            <a:ln w="28575">
              <a:noFill/>
            </a:ln>
          </c:spPr>
          <c:marker>
            <c:symbol val="diamond"/>
            <c:size val="5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Datasheet'!$S$48:$S$55</c:f>
              <c:numCache>
                <c:formatCode>General</c:formatCode>
                <c:ptCount val="8"/>
                <c:pt idx="0">
                  <c:v>26.634972526249655</c:v>
                </c:pt>
                <c:pt idx="1">
                  <c:v>22.795757024229317</c:v>
                </c:pt>
                <c:pt idx="2">
                  <c:v>21.666575994223322</c:v>
                </c:pt>
                <c:pt idx="3">
                  <c:v>21.926652799827636</c:v>
                </c:pt>
                <c:pt idx="4">
                  <c:v>15.946770830394527</c:v>
                </c:pt>
                <c:pt idx="5">
                  <c:v>31.816457595428545</c:v>
                </c:pt>
                <c:pt idx="6">
                  <c:v>26.296566546721067</c:v>
                </c:pt>
                <c:pt idx="7">
                  <c:v>14.213981196183823</c:v>
                </c:pt>
              </c:numCache>
            </c:numRef>
          </c:xVal>
          <c:yVal>
            <c:numRef>
              <c:f>'Smoke Point Datasheet'!$AZ$48:$AZ$55</c:f>
              <c:numCache>
                <c:formatCode>General</c:formatCode>
                <c:ptCount val="8"/>
                <c:pt idx="0">
                  <c:v>0.99975134434115975</c:v>
                </c:pt>
                <c:pt idx="1">
                  <c:v>0.99974399391296798</c:v>
                </c:pt>
                <c:pt idx="2">
                  <c:v>0.99974425172499348</c:v>
                </c:pt>
                <c:pt idx="3">
                  <c:v>0.99974119476063394</c:v>
                </c:pt>
                <c:pt idx="4">
                  <c:v>0.99973683490488197</c:v>
                </c:pt>
                <c:pt idx="5">
                  <c:v>0.99974790832922977</c:v>
                </c:pt>
                <c:pt idx="6">
                  <c:v>0.99974222169358085</c:v>
                </c:pt>
                <c:pt idx="7">
                  <c:v>0.99975951095734028</c:v>
                </c:pt>
              </c:numCache>
            </c:numRef>
          </c:yVal>
          <c:smooth val="0"/>
        </c:ser>
        <c:ser>
          <c:idx val="5"/>
          <c:order val="8"/>
          <c:tx>
            <c:v>50% Propylene, 1.6mm</c:v>
          </c:tx>
          <c:spPr>
            <a:ln w="28575">
              <a:noFill/>
            </a:ln>
          </c:spPr>
          <c:marker>
            <c:symbol val="plus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Datasheet'!$S$31:$S$37</c:f>
              <c:numCache>
                <c:formatCode>General</c:formatCode>
                <c:ptCount val="7"/>
                <c:pt idx="0">
                  <c:v>41.72808115184219</c:v>
                </c:pt>
                <c:pt idx="1">
                  <c:v>32.501314628506648</c:v>
                </c:pt>
                <c:pt idx="2">
                  <c:v>26.515626471498351</c:v>
                </c:pt>
                <c:pt idx="3">
                  <c:v>33.41256921447696</c:v>
                </c:pt>
                <c:pt idx="4">
                  <c:v>42.378594780349147</c:v>
                </c:pt>
                <c:pt idx="5">
                  <c:v>49.505435614760387</c:v>
                </c:pt>
                <c:pt idx="6">
                  <c:v>22.121202289754166</c:v>
                </c:pt>
              </c:numCache>
            </c:numRef>
          </c:xVal>
          <c:yVal>
            <c:numRef>
              <c:f>'Smoke Point Datasheet'!$AZ$31:$AZ$37</c:f>
              <c:numCache>
                <c:formatCode>General</c:formatCode>
                <c:ptCount val="7"/>
                <c:pt idx="0">
                  <c:v>0.99977138207337013</c:v>
                </c:pt>
                <c:pt idx="1">
                  <c:v>0.9997701958301225</c:v>
                </c:pt>
                <c:pt idx="2">
                  <c:v>0.99977743796542073</c:v>
                </c:pt>
                <c:pt idx="3">
                  <c:v>0.99976841743227174</c:v>
                </c:pt>
                <c:pt idx="4">
                  <c:v>0.99977103655790767</c:v>
                </c:pt>
                <c:pt idx="5">
                  <c:v>0.99977134172222371</c:v>
                </c:pt>
                <c:pt idx="6">
                  <c:v>0.99978611066533418</c:v>
                </c:pt>
              </c:numCache>
            </c:numRef>
          </c:yVal>
          <c:smooth val="0"/>
        </c:ser>
        <c:ser>
          <c:idx val="4"/>
          <c:order val="9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chemeClr val="bg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Datasheet'!$S$27:$S$30</c:f>
              <c:numCache>
                <c:formatCode>General</c:formatCode>
                <c:ptCount val="4"/>
                <c:pt idx="0">
                  <c:v>39.515649830719269</c:v>
                </c:pt>
                <c:pt idx="1">
                  <c:v>21.973157245733759</c:v>
                </c:pt>
                <c:pt idx="2">
                  <c:v>20.154748835313043</c:v>
                </c:pt>
                <c:pt idx="3">
                  <c:v>43.97615819320869</c:v>
                </c:pt>
              </c:numCache>
            </c:numRef>
          </c:xVal>
          <c:yVal>
            <c:numRef>
              <c:f>'Smoke Point Datasheet'!$AZ$27:$AZ$30</c:f>
              <c:numCache>
                <c:formatCode>General</c:formatCode>
                <c:ptCount val="4"/>
                <c:pt idx="0">
                  <c:v>0.9997825297326377</c:v>
                </c:pt>
                <c:pt idx="1">
                  <c:v>0.99978083112646099</c:v>
                </c:pt>
                <c:pt idx="2">
                  <c:v>0.99978379430730235</c:v>
                </c:pt>
                <c:pt idx="3">
                  <c:v>0.99977863143300971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69568"/>
        <c:axId val="127076224"/>
      </c:scatterChart>
      <c:valAx>
        <c:axId val="127069568"/>
        <c:scaling>
          <c:orientation val="minMax"/>
          <c:max val="13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L</a:t>
                </a:r>
                <a:r>
                  <a:rPr lang="en-US" sz="8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SP</a:t>
                </a: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(mm)</a:t>
                </a:r>
              </a:p>
            </c:rich>
          </c:tx>
          <c:layout>
            <c:manualLayout>
              <c:xMode val="edge"/>
              <c:yMode val="edge"/>
              <c:x val="0.41558438528517266"/>
              <c:y val="0.92753935169868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076224"/>
        <c:crosses val="autoZero"/>
        <c:crossBetween val="midCat"/>
        <c:majorUnit val="20"/>
        <c:minorUnit val="10"/>
      </c:valAx>
      <c:valAx>
        <c:axId val="127076224"/>
        <c:scaling>
          <c:orientation val="minMax"/>
          <c:max val="1.0009999999999999"/>
          <c:min val="0.999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</a:t>
                </a:r>
                <a:r>
                  <a:rPr lang="en-US" sz="8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form</a:t>
                </a: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\t</a:t>
                </a:r>
                <a:r>
                  <a:rPr lang="en-US" sz="8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oxid  </a:t>
                </a:r>
              </a:p>
            </c:rich>
          </c:tx>
          <c:layout>
            <c:manualLayout>
              <c:xMode val="edge"/>
              <c:yMode val="edge"/>
              <c:x val="1.6233637461983919E-2"/>
              <c:y val="0.3937210789827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069568"/>
        <c:crosses val="autoZero"/>
        <c:crossBetween val="midCat"/>
        <c:majorUnit val="5.0000000000000012E-4"/>
        <c:minorUnit val="1.0000000000000002E-4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603773584905662E-2"/>
          <c:y val="2.9411764705882353E-2"/>
          <c:w val="0.66703662597114322"/>
          <c:h val="0.83823529411764708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backward val="20"/>
            <c:dispRSqr val="0"/>
            <c:dispEq val="0"/>
          </c:trendline>
          <c:xVal>
            <c:numRef>
              <c:f>'Smoke Point Datasheet'!$AD$5:$AD$9</c:f>
              <c:numCache>
                <c:formatCode>General</c:formatCode>
                <c:ptCount val="5"/>
                <c:pt idx="0">
                  <c:v>58.016276553281713</c:v>
                </c:pt>
                <c:pt idx="1">
                  <c:v>33.570676556049591</c:v>
                </c:pt>
                <c:pt idx="2">
                  <c:v>39.211968863103159</c:v>
                </c:pt>
                <c:pt idx="3">
                  <c:v>36.391322709576379</c:v>
                </c:pt>
                <c:pt idx="4">
                  <c:v>18.527230403906753</c:v>
                </c:pt>
              </c:numCache>
            </c:numRef>
          </c:xVal>
          <c:yVal>
            <c:numRef>
              <c:f>'Smoke Point Datasheet'!$S$5:$S$9</c:f>
              <c:numCache>
                <c:formatCode>General</c:formatCode>
                <c:ptCount val="5"/>
                <c:pt idx="0">
                  <c:v>75.354798590478822</c:v>
                </c:pt>
                <c:pt idx="1">
                  <c:v>53.989152214468319</c:v>
                </c:pt>
                <c:pt idx="2">
                  <c:v>55.827057279071376</c:v>
                </c:pt>
                <c:pt idx="3">
                  <c:v>57.504493971454878</c:v>
                </c:pt>
                <c:pt idx="4">
                  <c:v>36.988530366890075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Datasheet'!$AD$10</c:f>
              <c:numCache>
                <c:formatCode>General</c:formatCode>
                <c:ptCount val="1"/>
                <c:pt idx="0">
                  <c:v>17.587015019397825</c:v>
                </c:pt>
              </c:numCache>
            </c:numRef>
          </c:xVal>
          <c:yVal>
            <c:numRef>
              <c:f>'Smoke Point Datasheet'!$S$10</c:f>
              <c:numCache>
                <c:formatCode>General</c:formatCode>
                <c:ptCount val="1"/>
                <c:pt idx="0">
                  <c:v>105.22075589027845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backward val="25"/>
            <c:dispRSqr val="0"/>
            <c:dispEq val="0"/>
          </c:trendline>
          <c:xVal>
            <c:numRef>
              <c:f>'Smoke Point Datasheet'!$AD$11:$AD$13</c:f>
              <c:numCache>
                <c:formatCode>General</c:formatCode>
                <c:ptCount val="3"/>
                <c:pt idx="0">
                  <c:v>44.853261170156728</c:v>
                </c:pt>
                <c:pt idx="1">
                  <c:v>36.391322709576379</c:v>
                </c:pt>
                <c:pt idx="2">
                  <c:v>22.288091941942461</c:v>
                </c:pt>
              </c:numCache>
            </c:numRef>
          </c:xVal>
          <c:yVal>
            <c:numRef>
              <c:f>'Smoke Point Datasheet'!$S$11:$S$13</c:f>
              <c:numCache>
                <c:formatCode>General</c:formatCode>
                <c:ptCount val="3"/>
                <c:pt idx="0">
                  <c:v>71.383567938857453</c:v>
                </c:pt>
                <c:pt idx="1">
                  <c:v>61.119455328205881</c:v>
                </c:pt>
                <c:pt idx="2">
                  <c:v>45.522586348649611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lgDash"/>
              </a:ln>
            </c:spPr>
            <c:trendlineType val="linear"/>
            <c:backward val="18"/>
            <c:dispRSqr val="0"/>
            <c:dispEq val="0"/>
          </c:trendline>
          <c:xVal>
            <c:numRef>
              <c:f>'Smoke Point Datasheet'!$AD$14:$AD$16</c:f>
              <c:numCache>
                <c:formatCode>General</c:formatCode>
                <c:ptCount val="3"/>
                <c:pt idx="0">
                  <c:v>33.570676556049591</c:v>
                </c:pt>
                <c:pt idx="1">
                  <c:v>21.347876557433533</c:v>
                </c:pt>
                <c:pt idx="2">
                  <c:v>16.646799634888897</c:v>
                </c:pt>
              </c:numCache>
            </c:numRef>
          </c:xVal>
          <c:yVal>
            <c:numRef>
              <c:f>'Smoke Point Datasheet'!$S$14:$S$16</c:f>
              <c:numCache>
                <c:formatCode>General</c:formatCode>
                <c:ptCount val="3"/>
                <c:pt idx="0">
                  <c:v>105.45049402335384</c:v>
                </c:pt>
                <c:pt idx="1">
                  <c:v>75.584536723554208</c:v>
                </c:pt>
                <c:pt idx="2">
                  <c:v>64.327368202860498</c:v>
                </c:pt>
              </c:numCache>
            </c:numRef>
          </c:yVal>
          <c:smooth val="0"/>
        </c:ser>
        <c:ser>
          <c:idx val="3"/>
          <c:order val="4"/>
          <c:tx>
            <c:v>Ethylene Still 1.6mm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Datasheet'!$AD$72:$AD$74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'Smoke Point Datasheet'!$S$72:$S$74</c:f>
              <c:numCache>
                <c:formatCode>General</c:formatCode>
                <c:ptCount val="3"/>
                <c:pt idx="0">
                  <c:v>18.224</c:v>
                </c:pt>
                <c:pt idx="1">
                  <c:v>18.492000000000001</c:v>
                </c:pt>
                <c:pt idx="2">
                  <c:v>19.564</c:v>
                </c:pt>
              </c:numCache>
            </c:numRef>
          </c:yVal>
          <c:smooth val="0"/>
        </c:ser>
        <c:ser>
          <c:idx val="4"/>
          <c:order val="5"/>
          <c:tx>
            <c:v>Propane Still 1.6mm</c:v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Datasheet'!$AD$76:$AD$83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'Smoke Point Datasheet'!$S$76:$S$83</c:f>
              <c:numCache>
                <c:formatCode>General</c:formatCode>
                <c:ptCount val="8"/>
                <c:pt idx="0">
                  <c:v>28.14</c:v>
                </c:pt>
                <c:pt idx="1">
                  <c:v>28.408000000000001</c:v>
                </c:pt>
                <c:pt idx="2">
                  <c:v>25.46</c:v>
                </c:pt>
                <c:pt idx="3">
                  <c:v>27.872</c:v>
                </c:pt>
                <c:pt idx="4">
                  <c:v>27.068000000000001</c:v>
                </c:pt>
                <c:pt idx="5">
                  <c:v>26.264000000000003</c:v>
                </c:pt>
                <c:pt idx="6">
                  <c:v>35.108000000000004</c:v>
                </c:pt>
                <c:pt idx="7">
                  <c:v>31.624000000000002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44096"/>
        <c:axId val="125446400"/>
      </c:scatterChart>
      <c:valAx>
        <c:axId val="125444096"/>
        <c:scaling>
          <c:orientation val="minMax"/>
          <c:max val="80"/>
          <c:min val="-20"/>
        </c:scaling>
        <c:delete val="0"/>
        <c:axPos val="b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u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a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(cm/s)</a:t>
                </a:r>
              </a:p>
            </c:rich>
          </c:tx>
          <c:layout>
            <c:manualLayout>
              <c:xMode val="edge"/>
              <c:yMode val="edge"/>
              <c:x val="0.33407325194228638"/>
              <c:y val="0.928104575163398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446400"/>
        <c:crosses val="autoZero"/>
        <c:crossBetween val="midCat"/>
        <c:majorUnit val="20"/>
        <c:minorUnit val="10"/>
      </c:valAx>
      <c:valAx>
        <c:axId val="125446400"/>
        <c:scaling>
          <c:orientation val="minMax"/>
          <c:max val="12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L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SP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(mm)</a:t>
                </a:r>
              </a:p>
            </c:rich>
          </c:tx>
          <c:layout>
            <c:manualLayout>
              <c:xMode val="edge"/>
              <c:yMode val="edge"/>
              <c:x val="0"/>
              <c:y val="0.354575163398692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444096"/>
        <c:crossesAt val="-10"/>
        <c:crossBetween val="midCat"/>
        <c:minorUnit val="10"/>
      </c:valAx>
      <c:spPr>
        <a:solidFill>
          <a:srgbClr val="FFFFFF"/>
        </a:solidFill>
        <a:ln w="31750">
          <a:solidFill>
            <a:schemeClr val="tx1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361820199778028"/>
          <c:y val="0.1388888888888889"/>
          <c:w val="0.23529411764705888"/>
          <c:h val="0.70915032679738554"/>
        </c:manualLayout>
      </c:layout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21864594894561"/>
          <c:y val="2.9411764705882353E-2"/>
          <c:w val="0.62930077691453945"/>
          <c:h val="0.83823529411764708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Datasheet'!$N$5:$N$9</c:f>
              <c:numCache>
                <c:formatCode>General</c:formatCode>
                <c:ptCount val="5"/>
                <c:pt idx="0">
                  <c:v>68</c:v>
                </c:pt>
                <c:pt idx="1">
                  <c:v>42</c:v>
                </c:pt>
                <c:pt idx="2">
                  <c:v>48</c:v>
                </c:pt>
                <c:pt idx="3">
                  <c:v>45</c:v>
                </c:pt>
                <c:pt idx="4">
                  <c:v>26</c:v>
                </c:pt>
              </c:numCache>
            </c:numRef>
          </c:xVal>
          <c:yVal>
            <c:numRef>
              <c:f>'Smoke Point Datasheet'!$M$5:$M$9</c:f>
              <c:numCache>
                <c:formatCode>General</c:formatCode>
                <c:ptCount val="5"/>
                <c:pt idx="0">
                  <c:v>285</c:v>
                </c:pt>
                <c:pt idx="1">
                  <c:v>207</c:v>
                </c:pt>
                <c:pt idx="2">
                  <c:v>211</c:v>
                </c:pt>
                <c:pt idx="3">
                  <c:v>209</c:v>
                </c:pt>
                <c:pt idx="4">
                  <c:v>140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Datasheet'!$N$10</c:f>
              <c:numCache>
                <c:formatCode>General</c:formatCode>
                <c:ptCount val="1"/>
                <c:pt idx="0">
                  <c:v>25</c:v>
                </c:pt>
              </c:numCache>
            </c:numRef>
          </c:xVal>
          <c:yVal>
            <c:numRef>
              <c:f>'Smoke Point Datasheet'!$M$10</c:f>
              <c:numCache>
                <c:formatCode>General</c:formatCode>
                <c:ptCount val="1"/>
                <c:pt idx="0">
                  <c:v>335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Datasheet'!$N$11:$N$13</c:f>
              <c:numCache>
                <c:formatCode>General</c:formatCode>
                <c:ptCount val="3"/>
                <c:pt idx="0">
                  <c:v>54</c:v>
                </c:pt>
                <c:pt idx="1">
                  <c:v>45</c:v>
                </c:pt>
                <c:pt idx="2">
                  <c:v>30</c:v>
                </c:pt>
              </c:numCache>
            </c:numRef>
          </c:xVal>
          <c:yVal>
            <c:numRef>
              <c:f>'Smoke Point Datasheet'!$M$11:$M$13</c:f>
              <c:numCache>
                <c:formatCode>General</c:formatCode>
                <c:ptCount val="3"/>
                <c:pt idx="0">
                  <c:v>276</c:v>
                </c:pt>
                <c:pt idx="1">
                  <c:v>230</c:v>
                </c:pt>
                <c:pt idx="2">
                  <c:v>164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lgDash"/>
              </a:ln>
            </c:spPr>
            <c:trendlineType val="linear"/>
            <c:dispRSqr val="0"/>
            <c:dispEq val="0"/>
          </c:trendline>
          <c:xVal>
            <c:numRef>
              <c:f>'Smoke Point Datasheet'!$N$14:$N$16</c:f>
              <c:numCache>
                <c:formatCode>General</c:formatCode>
                <c:ptCount val="3"/>
                <c:pt idx="0">
                  <c:v>42</c:v>
                </c:pt>
                <c:pt idx="1">
                  <c:v>29</c:v>
                </c:pt>
                <c:pt idx="2">
                  <c:v>24</c:v>
                </c:pt>
              </c:numCache>
            </c:numRef>
          </c:xVal>
          <c:yVal>
            <c:numRef>
              <c:f>'Smoke Point Datasheet'!$M$14:$M$16</c:f>
              <c:numCache>
                <c:formatCode>General</c:formatCode>
                <c:ptCount val="3"/>
                <c:pt idx="0">
                  <c:v>350</c:v>
                </c:pt>
                <c:pt idx="1">
                  <c:v>240</c:v>
                </c:pt>
                <c:pt idx="2">
                  <c:v>206</c:v>
                </c:pt>
              </c:numCache>
            </c:numRef>
          </c:yVal>
          <c:smooth val="0"/>
        </c:ser>
        <c:ser>
          <c:idx val="3"/>
          <c:order val="4"/>
          <c:tx>
            <c:v>75% Propylene 1.6mm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Datasheet'!$N$17:$N$26</c:f>
              <c:numCache>
                <c:formatCode>General</c:formatCode>
                <c:ptCount val="10"/>
                <c:pt idx="0">
                  <c:v>75</c:v>
                </c:pt>
                <c:pt idx="1">
                  <c:v>69</c:v>
                </c:pt>
                <c:pt idx="2">
                  <c:v>61</c:v>
                </c:pt>
                <c:pt idx="3">
                  <c:v>51</c:v>
                </c:pt>
                <c:pt idx="4">
                  <c:v>37</c:v>
                </c:pt>
                <c:pt idx="5">
                  <c:v>20</c:v>
                </c:pt>
                <c:pt idx="6">
                  <c:v>20</c:v>
                </c:pt>
                <c:pt idx="7">
                  <c:v>35</c:v>
                </c:pt>
                <c:pt idx="8">
                  <c:v>24</c:v>
                </c:pt>
                <c:pt idx="9">
                  <c:v>31</c:v>
                </c:pt>
              </c:numCache>
            </c:numRef>
          </c:xVal>
          <c:yVal>
            <c:numRef>
              <c:f>'Smoke Point Datasheet'!$M$17:$M$26</c:f>
              <c:numCache>
                <c:formatCode>General</c:formatCode>
                <c:ptCount val="10"/>
                <c:pt idx="0">
                  <c:v>149</c:v>
                </c:pt>
                <c:pt idx="1">
                  <c:v>147</c:v>
                </c:pt>
                <c:pt idx="2">
                  <c:v>117</c:v>
                </c:pt>
                <c:pt idx="3">
                  <c:v>105</c:v>
                </c:pt>
                <c:pt idx="4">
                  <c:v>79</c:v>
                </c:pt>
                <c:pt idx="5">
                  <c:v>50</c:v>
                </c:pt>
                <c:pt idx="6">
                  <c:v>49</c:v>
                </c:pt>
                <c:pt idx="7">
                  <c:v>72</c:v>
                </c:pt>
                <c:pt idx="8">
                  <c:v>52</c:v>
                </c:pt>
                <c:pt idx="9">
                  <c:v>61</c:v>
                </c:pt>
              </c:numCache>
            </c:numRef>
          </c:yVal>
          <c:smooth val="0"/>
        </c:ser>
        <c:ser>
          <c:idx val="4"/>
          <c:order val="5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lgDash"/>
              </a:ln>
            </c:spPr>
            <c:trendlineType val="linear"/>
            <c:dispRSqr val="0"/>
            <c:dispEq val="0"/>
          </c:trendline>
          <c:xVal>
            <c:numRef>
              <c:f>'Smoke Point Datasheet'!$N$27:$N$30</c:f>
              <c:numCache>
                <c:formatCode>General</c:formatCode>
                <c:ptCount val="4"/>
                <c:pt idx="0">
                  <c:v>46</c:v>
                </c:pt>
                <c:pt idx="1">
                  <c:v>22</c:v>
                </c:pt>
                <c:pt idx="2">
                  <c:v>22</c:v>
                </c:pt>
                <c:pt idx="3">
                  <c:v>47</c:v>
                </c:pt>
              </c:numCache>
            </c:numRef>
          </c:xVal>
          <c:yVal>
            <c:numRef>
              <c:f>'Smoke Point Datasheet'!$M$27:$M$30</c:f>
              <c:numCache>
                <c:formatCode>General</c:formatCode>
                <c:ptCount val="4"/>
                <c:pt idx="0">
                  <c:v>149</c:v>
                </c:pt>
                <c:pt idx="1">
                  <c:v>70</c:v>
                </c:pt>
                <c:pt idx="2">
                  <c:v>68</c:v>
                </c:pt>
                <c:pt idx="3">
                  <c:v>156</c:v>
                </c:pt>
              </c:numCache>
            </c:numRef>
          </c:yVal>
          <c:smooth val="0"/>
        </c:ser>
        <c:ser>
          <c:idx val="5"/>
          <c:order val="6"/>
          <c:tx>
            <c:v>50% Propylene 1.6mm</c:v>
          </c:tx>
          <c:spPr>
            <a:ln w="28575">
              <a:noFill/>
            </a:ln>
          </c:spPr>
          <c:marker>
            <c:symbol val="x"/>
            <c:size val="8"/>
            <c:spPr>
              <a:blipFill dpi="0" rotWithShape="0">
                <a:blip xmlns:r="http://schemas.openxmlformats.org/officeDocument/2006/relationships" r:embed="rId1"/>
                <a:srcRect/>
                <a:stretch>
                  <a:fillRect/>
                </a:stretch>
              </a:blipFill>
              <a:ln w="9525">
                <a:noFill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Datasheet'!$N$31:$N$37</c:f>
              <c:numCache>
                <c:formatCode>General</c:formatCode>
                <c:ptCount val="7"/>
                <c:pt idx="0">
                  <c:v>49</c:v>
                </c:pt>
                <c:pt idx="1">
                  <c:v>34</c:v>
                </c:pt>
                <c:pt idx="2">
                  <c:v>20</c:v>
                </c:pt>
                <c:pt idx="3">
                  <c:v>34</c:v>
                </c:pt>
                <c:pt idx="4">
                  <c:v>49</c:v>
                </c:pt>
                <c:pt idx="5">
                  <c:v>58</c:v>
                </c:pt>
                <c:pt idx="6">
                  <c:v>18</c:v>
                </c:pt>
              </c:numCache>
            </c:numRef>
          </c:xVal>
          <c:yVal>
            <c:numRef>
              <c:f>'Smoke Point Datasheet'!$M$31:$M$37</c:f>
              <c:numCache>
                <c:formatCode>General</c:formatCode>
                <c:ptCount val="7"/>
                <c:pt idx="0">
                  <c:v>205</c:v>
                </c:pt>
                <c:pt idx="1">
                  <c:v>156</c:v>
                </c:pt>
                <c:pt idx="2">
                  <c:v>115</c:v>
                </c:pt>
                <c:pt idx="3">
                  <c:v>155</c:v>
                </c:pt>
                <c:pt idx="4">
                  <c:v>207</c:v>
                </c:pt>
                <c:pt idx="5">
                  <c:v>234</c:v>
                </c:pt>
                <c:pt idx="6">
                  <c:v>103</c:v>
                </c:pt>
              </c:numCache>
            </c:numRef>
          </c:yVal>
          <c:smooth val="0"/>
        </c:ser>
        <c:ser>
          <c:idx val="6"/>
          <c:order val="7"/>
          <c:tx>
            <c:v>Propylene 1.6mm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Datasheet'!$N$38:$N$47</c:f>
              <c:numCache>
                <c:formatCode>General</c:formatCode>
                <c:ptCount val="10"/>
                <c:pt idx="0">
                  <c:v>61</c:v>
                </c:pt>
                <c:pt idx="1">
                  <c:v>42</c:v>
                </c:pt>
                <c:pt idx="2">
                  <c:v>30</c:v>
                </c:pt>
                <c:pt idx="3">
                  <c:v>16</c:v>
                </c:pt>
                <c:pt idx="4">
                  <c:v>28</c:v>
                </c:pt>
                <c:pt idx="5">
                  <c:v>17</c:v>
                </c:pt>
                <c:pt idx="6">
                  <c:v>38</c:v>
                </c:pt>
                <c:pt idx="7">
                  <c:v>67</c:v>
                </c:pt>
                <c:pt idx="8">
                  <c:v>56</c:v>
                </c:pt>
                <c:pt idx="9">
                  <c:v>49</c:v>
                </c:pt>
              </c:numCache>
            </c:numRef>
          </c:xVal>
          <c:yVal>
            <c:numRef>
              <c:f>'Smoke Point Datasheet'!$M$38:$M$47</c:f>
              <c:numCache>
                <c:formatCode>General</c:formatCode>
                <c:ptCount val="10"/>
                <c:pt idx="0">
                  <c:v>84</c:v>
                </c:pt>
                <c:pt idx="1">
                  <c:v>61</c:v>
                </c:pt>
                <c:pt idx="2">
                  <c:v>46</c:v>
                </c:pt>
                <c:pt idx="3">
                  <c:v>37</c:v>
                </c:pt>
                <c:pt idx="4">
                  <c:v>48</c:v>
                </c:pt>
                <c:pt idx="5">
                  <c:v>33</c:v>
                </c:pt>
                <c:pt idx="6">
                  <c:v>60</c:v>
                </c:pt>
                <c:pt idx="7">
                  <c:v>98</c:v>
                </c:pt>
                <c:pt idx="8">
                  <c:v>81</c:v>
                </c:pt>
                <c:pt idx="9">
                  <c:v>64</c:v>
                </c:pt>
              </c:numCache>
            </c:numRef>
          </c:yVal>
          <c:smooth val="0"/>
        </c:ser>
        <c:ser>
          <c:idx val="7"/>
          <c:order val="8"/>
          <c:tx>
            <c:v>Propylene 0.76mm</c:v>
          </c:tx>
          <c:spPr>
            <a:ln w="28575">
              <a:noFill/>
            </a:ln>
          </c:spPr>
          <c:marker>
            <c:symbol val="diamond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lgDash"/>
              </a:ln>
            </c:spPr>
            <c:trendlineType val="linear"/>
            <c:dispRSqr val="0"/>
            <c:dispEq val="0"/>
          </c:trendline>
          <c:xVal>
            <c:numRef>
              <c:f>'Smoke Point Datasheet'!$N$48:$N$55</c:f>
              <c:numCache>
                <c:formatCode>General</c:formatCode>
                <c:ptCount val="8"/>
                <c:pt idx="0">
                  <c:v>50</c:v>
                </c:pt>
                <c:pt idx="1">
                  <c:v>37</c:v>
                </c:pt>
                <c:pt idx="2">
                  <c:v>35</c:v>
                </c:pt>
                <c:pt idx="3">
                  <c:v>32</c:v>
                </c:pt>
                <c:pt idx="4">
                  <c:v>20</c:v>
                </c:pt>
                <c:pt idx="5">
                  <c:v>60</c:v>
                </c:pt>
                <c:pt idx="6">
                  <c:v>40</c:v>
                </c:pt>
                <c:pt idx="7">
                  <c:v>14</c:v>
                </c:pt>
              </c:numCache>
            </c:numRef>
          </c:xVal>
          <c:yVal>
            <c:numRef>
              <c:f>'Smoke Point Datasheet'!$M$48:$M$55</c:f>
              <c:numCache>
                <c:formatCode>General</c:formatCode>
                <c:ptCount val="8"/>
                <c:pt idx="0">
                  <c:v>84</c:v>
                </c:pt>
                <c:pt idx="1">
                  <c:v>69</c:v>
                </c:pt>
                <c:pt idx="2">
                  <c:v>64</c:v>
                </c:pt>
                <c:pt idx="3">
                  <c:v>62</c:v>
                </c:pt>
                <c:pt idx="4">
                  <c:v>44</c:v>
                </c:pt>
                <c:pt idx="5">
                  <c:v>111</c:v>
                </c:pt>
                <c:pt idx="6">
                  <c:v>80</c:v>
                </c:pt>
                <c:pt idx="7">
                  <c:v>41</c:v>
                </c:pt>
              </c:numCache>
            </c:numRef>
          </c:yVal>
          <c:smooth val="0"/>
        </c:ser>
        <c:ser>
          <c:idx val="8"/>
          <c:order val="9"/>
          <c:tx>
            <c:v>Propylene 0.41mm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969696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'Smoke Point Datasheet'!$N$56:$N$59</c:f>
              <c:numCache>
                <c:formatCode>General</c:formatCode>
                <c:ptCount val="4"/>
                <c:pt idx="0">
                  <c:v>35</c:v>
                </c:pt>
                <c:pt idx="1">
                  <c:v>22</c:v>
                </c:pt>
                <c:pt idx="2">
                  <c:v>17</c:v>
                </c:pt>
                <c:pt idx="3">
                  <c:v>12</c:v>
                </c:pt>
              </c:numCache>
            </c:numRef>
          </c:xVal>
          <c:yVal>
            <c:numRef>
              <c:f>'Smoke Point Datasheet'!$M$56:$M$59</c:f>
              <c:numCache>
                <c:formatCode>General</c:formatCode>
                <c:ptCount val="4"/>
                <c:pt idx="0">
                  <c:v>136</c:v>
                </c:pt>
                <c:pt idx="1">
                  <c:v>113</c:v>
                </c:pt>
                <c:pt idx="2">
                  <c:v>145</c:v>
                </c:pt>
                <c:pt idx="3">
                  <c:v>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580416"/>
        <c:axId val="125581952"/>
      </c:scatterChart>
      <c:valAx>
        <c:axId val="125580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AIR (Video)</a:t>
                </a:r>
              </a:p>
            </c:rich>
          </c:tx>
          <c:layout>
            <c:manualLayout>
              <c:xMode val="edge"/>
              <c:yMode val="edge"/>
              <c:x val="0.36182019977802443"/>
              <c:y val="0.928104575163398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581952"/>
        <c:crosses val="autoZero"/>
        <c:crossBetween val="midCat"/>
      </c:valAx>
      <c:valAx>
        <c:axId val="125581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FUEL (Video)</a:t>
                </a:r>
              </a:p>
            </c:rich>
          </c:tx>
          <c:layout>
            <c:manualLayout>
              <c:xMode val="edge"/>
              <c:yMode val="edge"/>
              <c:x val="4.4395116537180911E-3"/>
              <c:y val="0.354575163398692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5580416"/>
        <c:crossesAt val="0"/>
        <c:crossBetween val="midCat"/>
        <c:majorUnit val="50"/>
        <c:minorUnit val="25"/>
      </c:valAx>
      <c:spPr>
        <a:solidFill>
          <a:srgbClr val="FFFFFF"/>
        </a:solidFill>
        <a:ln w="31750">
          <a:solidFill>
            <a:schemeClr val="tx1"/>
          </a:solidFill>
          <a:prstDash val="solid"/>
        </a:ln>
      </c:spPr>
    </c:plotArea>
    <c:legend>
      <c:legendPos val="r"/>
      <c:legendEntry>
        <c:idx val="6"/>
        <c:txPr>
          <a:bodyPr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74472807991120982"/>
          <c:y val="3.2135076252723313E-2"/>
          <c:w val="0.23529411764705888"/>
          <c:h val="0.83769063180827885"/>
        </c:manualLayout>
      </c:layout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21864594894561"/>
          <c:y val="2.9411764705882353E-2"/>
          <c:w val="0.62819089900110991"/>
          <c:h val="0.83823529411764708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Datasheet'!$AD$5:$AD$9</c:f>
              <c:numCache>
                <c:formatCode>General</c:formatCode>
                <c:ptCount val="5"/>
                <c:pt idx="0">
                  <c:v>58.016276553281713</c:v>
                </c:pt>
                <c:pt idx="1">
                  <c:v>33.570676556049591</c:v>
                </c:pt>
                <c:pt idx="2">
                  <c:v>39.211968863103159</c:v>
                </c:pt>
                <c:pt idx="3">
                  <c:v>36.391322709576379</c:v>
                </c:pt>
                <c:pt idx="4">
                  <c:v>18.527230403906753</c:v>
                </c:pt>
              </c:numCache>
            </c:numRef>
          </c:xVal>
          <c:yVal>
            <c:numRef>
              <c:f>'Smoke Point Datasheet'!$S$5:$S$9</c:f>
              <c:numCache>
                <c:formatCode>General</c:formatCode>
                <c:ptCount val="5"/>
                <c:pt idx="0">
                  <c:v>75.354798590478822</c:v>
                </c:pt>
                <c:pt idx="1">
                  <c:v>53.989152214468319</c:v>
                </c:pt>
                <c:pt idx="2">
                  <c:v>55.827057279071376</c:v>
                </c:pt>
                <c:pt idx="3">
                  <c:v>57.504493971454878</c:v>
                </c:pt>
                <c:pt idx="4">
                  <c:v>36.988530366890075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Datasheet'!$AD$10</c:f>
              <c:numCache>
                <c:formatCode>General</c:formatCode>
                <c:ptCount val="1"/>
                <c:pt idx="0">
                  <c:v>17.587015019397825</c:v>
                </c:pt>
              </c:numCache>
            </c:numRef>
          </c:xVal>
          <c:yVal>
            <c:numRef>
              <c:f>'Smoke Point Datasheet'!$S$10</c:f>
              <c:numCache>
                <c:formatCode>General</c:formatCode>
                <c:ptCount val="1"/>
                <c:pt idx="0">
                  <c:v>105.22075589027845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Datasheet'!$AD$11:$AD$13</c:f>
              <c:numCache>
                <c:formatCode>General</c:formatCode>
                <c:ptCount val="3"/>
                <c:pt idx="0">
                  <c:v>44.853261170156728</c:v>
                </c:pt>
                <c:pt idx="1">
                  <c:v>36.391322709576379</c:v>
                </c:pt>
                <c:pt idx="2">
                  <c:v>22.288091941942461</c:v>
                </c:pt>
              </c:numCache>
            </c:numRef>
          </c:xVal>
          <c:yVal>
            <c:numRef>
              <c:f>'Smoke Point Datasheet'!$S$11:$S$13</c:f>
              <c:numCache>
                <c:formatCode>General</c:formatCode>
                <c:ptCount val="3"/>
                <c:pt idx="0">
                  <c:v>71.383567938857453</c:v>
                </c:pt>
                <c:pt idx="1">
                  <c:v>61.119455328205881</c:v>
                </c:pt>
                <c:pt idx="2">
                  <c:v>45.522586348649611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lgDash"/>
              </a:ln>
            </c:spPr>
            <c:trendlineType val="linear"/>
            <c:dispRSqr val="0"/>
            <c:dispEq val="0"/>
          </c:trendline>
          <c:xVal>
            <c:numRef>
              <c:f>'Smoke Point Datasheet'!$AD$14:$AD$16</c:f>
              <c:numCache>
                <c:formatCode>General</c:formatCode>
                <c:ptCount val="3"/>
                <c:pt idx="0">
                  <c:v>33.570676556049591</c:v>
                </c:pt>
                <c:pt idx="1">
                  <c:v>21.347876557433533</c:v>
                </c:pt>
                <c:pt idx="2">
                  <c:v>16.646799634888897</c:v>
                </c:pt>
              </c:numCache>
            </c:numRef>
          </c:xVal>
          <c:yVal>
            <c:numRef>
              <c:f>'Smoke Point Datasheet'!$S$14:$S$16</c:f>
              <c:numCache>
                <c:formatCode>General</c:formatCode>
                <c:ptCount val="3"/>
                <c:pt idx="0">
                  <c:v>105.45049402335384</c:v>
                </c:pt>
                <c:pt idx="1">
                  <c:v>75.584536723554208</c:v>
                </c:pt>
                <c:pt idx="2">
                  <c:v>64.327368202860498</c:v>
                </c:pt>
              </c:numCache>
            </c:numRef>
          </c:yVal>
          <c:smooth val="0"/>
        </c:ser>
        <c:ser>
          <c:idx val="3"/>
          <c:order val="4"/>
          <c:tx>
            <c:v>75% Propylene 1.6mm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Datasheet'!$AD$17:$AD$26</c:f>
              <c:numCache>
                <c:formatCode>General</c:formatCode>
                <c:ptCount val="10"/>
                <c:pt idx="0">
                  <c:v>64.597784244844206</c:v>
                </c:pt>
                <c:pt idx="1">
                  <c:v>58.956491937790645</c:v>
                </c:pt>
                <c:pt idx="2">
                  <c:v>51.43476886171922</c:v>
                </c:pt>
                <c:pt idx="3">
                  <c:v>42.03261501662994</c:v>
                </c:pt>
                <c:pt idx="4">
                  <c:v>28.869599633504954</c:v>
                </c:pt>
                <c:pt idx="5">
                  <c:v>12.885938096853188</c:v>
                </c:pt>
                <c:pt idx="6">
                  <c:v>12.885938096853188</c:v>
                </c:pt>
                <c:pt idx="7">
                  <c:v>26.989168864487098</c:v>
                </c:pt>
                <c:pt idx="8">
                  <c:v>16.646799634888897</c:v>
                </c:pt>
                <c:pt idx="9">
                  <c:v>23.22830732645139</c:v>
                </c:pt>
              </c:numCache>
            </c:numRef>
          </c:xVal>
          <c:yVal>
            <c:numRef>
              <c:f>'Smoke Point Datasheet'!$S$17:$S$26</c:f>
              <c:numCache>
                <c:formatCode>General</c:formatCode>
                <c:ptCount val="10"/>
                <c:pt idx="0">
                  <c:v>37.67774476611622</c:v>
                </c:pt>
                <c:pt idx="1">
                  <c:v>35.839839701513156</c:v>
                </c:pt>
                <c:pt idx="2">
                  <c:v>31.704553306156285</c:v>
                </c:pt>
                <c:pt idx="3">
                  <c:v>26.650314378497882</c:v>
                </c:pt>
                <c:pt idx="4">
                  <c:v>21.13659918468872</c:v>
                </c:pt>
                <c:pt idx="5">
                  <c:v>14.474193325502654</c:v>
                </c:pt>
                <c:pt idx="6">
                  <c:v>14.158540794131824</c:v>
                </c:pt>
                <c:pt idx="7">
                  <c:v>20.364052322316638</c:v>
                </c:pt>
                <c:pt idx="8">
                  <c:v>15.608727809261254</c:v>
                </c:pt>
                <c:pt idx="9">
                  <c:v>17.881738322287148</c:v>
                </c:pt>
              </c:numCache>
            </c:numRef>
          </c:yVal>
          <c:smooth val="0"/>
        </c:ser>
        <c:ser>
          <c:idx val="4"/>
          <c:order val="5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lgDash"/>
              </a:ln>
            </c:spPr>
            <c:trendlineType val="linear"/>
            <c:dispRSqr val="0"/>
            <c:dispEq val="0"/>
          </c:trendline>
          <c:xVal>
            <c:numRef>
              <c:f>'Smoke Point Datasheet'!$AD$27:$AD$30</c:f>
              <c:numCache>
                <c:formatCode>General</c:formatCode>
                <c:ptCount val="4"/>
                <c:pt idx="0">
                  <c:v>37.331538094085303</c:v>
                </c:pt>
                <c:pt idx="1">
                  <c:v>14.766368865871041</c:v>
                </c:pt>
                <c:pt idx="2">
                  <c:v>14.766368865871041</c:v>
                </c:pt>
                <c:pt idx="3">
                  <c:v>38.271753478594235</c:v>
                </c:pt>
              </c:numCache>
            </c:numRef>
          </c:xVal>
          <c:yVal>
            <c:numRef>
              <c:f>'Smoke Point Datasheet'!$S$27:$S$30</c:f>
              <c:numCache>
                <c:formatCode>General</c:formatCode>
                <c:ptCount val="4"/>
                <c:pt idx="0">
                  <c:v>39.515649830719269</c:v>
                </c:pt>
                <c:pt idx="1">
                  <c:v>21.973157245733759</c:v>
                </c:pt>
                <c:pt idx="2">
                  <c:v>20.154748835313043</c:v>
                </c:pt>
                <c:pt idx="3">
                  <c:v>43.97615819320869</c:v>
                </c:pt>
              </c:numCache>
            </c:numRef>
          </c:yVal>
          <c:smooth val="0"/>
        </c:ser>
        <c:ser>
          <c:idx val="5"/>
          <c:order val="6"/>
          <c:tx>
            <c:v>50% Propylene 1.6mm</c:v>
          </c:tx>
          <c:spPr>
            <a:ln w="28575">
              <a:noFill/>
            </a:ln>
          </c:spPr>
          <c:marker>
            <c:symbol val="x"/>
            <c:size val="8"/>
            <c:spPr>
              <a:blipFill dpi="0" rotWithShape="0">
                <a:blip xmlns:r="http://schemas.openxmlformats.org/officeDocument/2006/relationships" r:embed="rId1"/>
                <a:srcRect/>
                <a:stretch>
                  <a:fillRect/>
                </a:stretch>
              </a:blipFill>
              <a:ln w="9525">
                <a:noFill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Datasheet'!$AD$31:$AD$37</c:f>
              <c:numCache>
                <c:formatCode>General</c:formatCode>
                <c:ptCount val="7"/>
                <c:pt idx="0">
                  <c:v>40.152184247612084</c:v>
                </c:pt>
                <c:pt idx="1">
                  <c:v>26.048953479978174</c:v>
                </c:pt>
                <c:pt idx="2">
                  <c:v>12.885938096853188</c:v>
                </c:pt>
                <c:pt idx="3">
                  <c:v>26.048953479978174</c:v>
                </c:pt>
                <c:pt idx="4">
                  <c:v>40.152184247612084</c:v>
                </c:pt>
                <c:pt idx="5">
                  <c:v>48.614122708192433</c:v>
                </c:pt>
                <c:pt idx="6">
                  <c:v>11.005507327835332</c:v>
                </c:pt>
              </c:numCache>
            </c:numRef>
          </c:xVal>
          <c:yVal>
            <c:numRef>
              <c:f>'Smoke Point Datasheet'!$S$31:$S$37</c:f>
              <c:numCache>
                <c:formatCode>General</c:formatCode>
                <c:ptCount val="7"/>
                <c:pt idx="0">
                  <c:v>41.72808115184219</c:v>
                </c:pt>
                <c:pt idx="1">
                  <c:v>32.501314628506648</c:v>
                </c:pt>
                <c:pt idx="2">
                  <c:v>26.515626471498351</c:v>
                </c:pt>
                <c:pt idx="3">
                  <c:v>33.41256921447696</c:v>
                </c:pt>
                <c:pt idx="4">
                  <c:v>42.378594780349147</c:v>
                </c:pt>
                <c:pt idx="5">
                  <c:v>49.505435614760387</c:v>
                </c:pt>
                <c:pt idx="6">
                  <c:v>22.121202289754166</c:v>
                </c:pt>
              </c:numCache>
            </c:numRef>
          </c:yVal>
          <c:smooth val="0"/>
        </c:ser>
        <c:ser>
          <c:idx val="6"/>
          <c:order val="7"/>
          <c:tx>
            <c:v>Propylene 1.6mm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Datasheet'!$AD$38:$AD$47</c:f>
              <c:numCache>
                <c:formatCode>General</c:formatCode>
                <c:ptCount val="10"/>
                <c:pt idx="0">
                  <c:v>51.43476886171922</c:v>
                </c:pt>
                <c:pt idx="1">
                  <c:v>33.570676556049591</c:v>
                </c:pt>
                <c:pt idx="2">
                  <c:v>22.288091941942461</c:v>
                </c:pt>
                <c:pt idx="3">
                  <c:v>9.1250765588174758</c:v>
                </c:pt>
                <c:pt idx="4">
                  <c:v>20.407661172924605</c:v>
                </c:pt>
                <c:pt idx="5">
                  <c:v>10.065291943326404</c:v>
                </c:pt>
                <c:pt idx="6">
                  <c:v>29.809815018013886</c:v>
                </c:pt>
                <c:pt idx="7">
                  <c:v>57.076061168772782</c:v>
                </c:pt>
                <c:pt idx="8">
                  <c:v>46.733691939174577</c:v>
                </c:pt>
                <c:pt idx="9">
                  <c:v>40.152184247612084</c:v>
                </c:pt>
              </c:numCache>
            </c:numRef>
          </c:xVal>
          <c:yVal>
            <c:numRef>
              <c:f>'Smoke Point Datasheet'!$S$38:$S$47</c:f>
              <c:numCache>
                <c:formatCode>General</c:formatCode>
                <c:ptCount val="10"/>
                <c:pt idx="0">
                  <c:v>25.731627702244865</c:v>
                </c:pt>
                <c:pt idx="1">
                  <c:v>19.634050140212551</c:v>
                </c:pt>
                <c:pt idx="2">
                  <c:v>15.794834638192199</c:v>
                </c:pt>
                <c:pt idx="3">
                  <c:v>13.988144990182633</c:v>
                </c:pt>
                <c:pt idx="4">
                  <c:v>15.486779909668897</c:v>
                </c:pt>
                <c:pt idx="5">
                  <c:v>13.416820766403589</c:v>
                </c:pt>
                <c:pt idx="6">
                  <c:v>17.556739052934205</c:v>
                </c:pt>
                <c:pt idx="7">
                  <c:v>26.526562007083882</c:v>
                </c:pt>
                <c:pt idx="8">
                  <c:v>23.076630101641697</c:v>
                </c:pt>
                <c:pt idx="9">
                  <c:v>19.396702735836712</c:v>
                </c:pt>
              </c:numCache>
            </c:numRef>
          </c:yVal>
          <c:smooth val="0"/>
        </c:ser>
        <c:ser>
          <c:idx val="7"/>
          <c:order val="8"/>
          <c:tx>
            <c:v>Propylene 0.76mm</c:v>
          </c:tx>
          <c:spPr>
            <a:ln w="28575">
              <a:noFill/>
            </a:ln>
          </c:spPr>
          <c:marker>
            <c:symbol val="diamond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lgDash"/>
              </a:ln>
            </c:spPr>
            <c:trendlineType val="linear"/>
            <c:dispRSqr val="0"/>
            <c:dispEq val="0"/>
          </c:trendline>
          <c:xVal>
            <c:numRef>
              <c:f>'Smoke Point Datasheet'!$AD$48:$AD$55</c:f>
              <c:numCache>
                <c:formatCode>General</c:formatCode>
                <c:ptCount val="8"/>
                <c:pt idx="0">
                  <c:v>41.092399632121015</c:v>
                </c:pt>
                <c:pt idx="1">
                  <c:v>28.869599633504954</c:v>
                </c:pt>
                <c:pt idx="2">
                  <c:v>26.989168864487098</c:v>
                </c:pt>
                <c:pt idx="3">
                  <c:v>24.168522710960318</c:v>
                </c:pt>
                <c:pt idx="4">
                  <c:v>12.885938096853188</c:v>
                </c:pt>
                <c:pt idx="5">
                  <c:v>50.494553477210289</c:v>
                </c:pt>
                <c:pt idx="6">
                  <c:v>31.690245787031742</c:v>
                </c:pt>
                <c:pt idx="7">
                  <c:v>7.2446457897996197</c:v>
                </c:pt>
              </c:numCache>
            </c:numRef>
          </c:xVal>
          <c:yVal>
            <c:numRef>
              <c:f>'Smoke Point Datasheet'!$S$48:$S$55</c:f>
              <c:numCache>
                <c:formatCode>General</c:formatCode>
                <c:ptCount val="8"/>
                <c:pt idx="0">
                  <c:v>26.634972526249655</c:v>
                </c:pt>
                <c:pt idx="1">
                  <c:v>22.795757024229317</c:v>
                </c:pt>
                <c:pt idx="2">
                  <c:v>21.666575994223322</c:v>
                </c:pt>
                <c:pt idx="3">
                  <c:v>21.926652799827636</c:v>
                </c:pt>
                <c:pt idx="4">
                  <c:v>15.946770830394527</c:v>
                </c:pt>
                <c:pt idx="5">
                  <c:v>31.816457595428545</c:v>
                </c:pt>
                <c:pt idx="6">
                  <c:v>26.296566546721067</c:v>
                </c:pt>
                <c:pt idx="7">
                  <c:v>14.213981196183823</c:v>
                </c:pt>
              </c:numCache>
            </c:numRef>
          </c:yVal>
          <c:smooth val="0"/>
        </c:ser>
        <c:ser>
          <c:idx val="8"/>
          <c:order val="9"/>
          <c:tx>
            <c:v>Propylene 0.41mm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969696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ysDash"/>
              </a:ln>
            </c:spPr>
            <c:trendlineType val="linear"/>
            <c:dispRSqr val="0"/>
            <c:dispEq val="0"/>
          </c:trendline>
          <c:xVal>
            <c:numRef>
              <c:f>'Smoke Point Datasheet'!$AD$56:$AD$59</c:f>
              <c:numCache>
                <c:formatCode>General</c:formatCode>
                <c:ptCount val="4"/>
                <c:pt idx="0">
                  <c:v>26.989168864487098</c:v>
                </c:pt>
                <c:pt idx="1">
                  <c:v>14.766368865871041</c:v>
                </c:pt>
                <c:pt idx="2">
                  <c:v>10.065291943326404</c:v>
                </c:pt>
                <c:pt idx="3">
                  <c:v>5.3642150207817654</c:v>
                </c:pt>
              </c:numCache>
            </c:numRef>
          </c:xVal>
          <c:yVal>
            <c:numRef>
              <c:f>'Smoke Point Datasheet'!$S$56:$S$59</c:f>
              <c:numCache>
                <c:formatCode>General</c:formatCode>
                <c:ptCount val="4"/>
                <c:pt idx="0">
                  <c:v>53.283644834390898</c:v>
                </c:pt>
                <c:pt idx="1">
                  <c:v>46.96023106635738</c:v>
                </c:pt>
                <c:pt idx="2">
                  <c:v>59.185917378603172</c:v>
                </c:pt>
                <c:pt idx="3">
                  <c:v>37.700946620308301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90304"/>
        <c:axId val="127500672"/>
      </c:scatterChart>
      <c:valAx>
        <c:axId val="127490304"/>
        <c:scaling>
          <c:orientation val="minMax"/>
          <c:max val="7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u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a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(cm/s)</a:t>
                </a:r>
              </a:p>
            </c:rich>
          </c:tx>
          <c:layout>
            <c:manualLayout>
              <c:xMode val="edge"/>
              <c:yMode val="edge"/>
              <c:x val="0.36182019977802443"/>
              <c:y val="0.928104575163398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500672"/>
        <c:crosses val="autoZero"/>
        <c:crossBetween val="midCat"/>
        <c:majorUnit val="20"/>
        <c:minorUnit val="10"/>
      </c:valAx>
      <c:valAx>
        <c:axId val="127500672"/>
        <c:scaling>
          <c:orientation val="minMax"/>
          <c:max val="12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L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SP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(mm)</a:t>
                </a:r>
              </a:p>
            </c:rich>
          </c:tx>
          <c:layout>
            <c:manualLayout>
              <c:xMode val="edge"/>
              <c:yMode val="edge"/>
              <c:x val="4.4395116537180911E-3"/>
              <c:y val="0.354575163398692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490304"/>
        <c:crossesAt val="0"/>
        <c:crossBetween val="midCat"/>
        <c:minorUnit val="10"/>
      </c:valAx>
      <c:spPr>
        <a:solidFill>
          <a:srgbClr val="FFFFFF"/>
        </a:solidFill>
        <a:ln w="31750">
          <a:solidFill>
            <a:schemeClr val="tx1"/>
          </a:solidFill>
          <a:prstDash val="solid"/>
        </a:ln>
      </c:spPr>
    </c:plotArea>
    <c:legend>
      <c:legendPos val="r"/>
      <c:legendEntry>
        <c:idx val="6"/>
        <c:txPr>
          <a:bodyPr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x val="0.74472807991120982"/>
          <c:y val="0.1388888888888889"/>
          <c:w val="0.23529411764705888"/>
          <c:h val="0.70915032679738554"/>
        </c:manualLayout>
      </c:layout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6803551609324"/>
          <c:y val="2.7777777777777776E-2"/>
          <c:w val="0.56714761376248612"/>
          <c:h val="0.89215686274509809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Datasheet'!$AE$5:$AE$9</c:f>
              <c:numCache>
                <c:formatCode>General</c:formatCode>
                <c:ptCount val="5"/>
                <c:pt idx="0">
                  <c:v>141.71194099172226</c:v>
                </c:pt>
                <c:pt idx="1">
                  <c:v>102.9276202992509</c:v>
                </c:pt>
                <c:pt idx="2">
                  <c:v>104.91655982194175</c:v>
                </c:pt>
                <c:pt idx="3">
                  <c:v>103.92209006059632</c:v>
                </c:pt>
                <c:pt idx="4">
                  <c:v>69.612883294179355</c:v>
                </c:pt>
              </c:numCache>
            </c:numRef>
          </c:xVal>
          <c:yVal>
            <c:numRef>
              <c:f>'Smoke Point Datasheet'!$S$5:$S$9</c:f>
              <c:numCache>
                <c:formatCode>General</c:formatCode>
                <c:ptCount val="5"/>
                <c:pt idx="0">
                  <c:v>75.354798590478822</c:v>
                </c:pt>
                <c:pt idx="1">
                  <c:v>53.989152214468319</c:v>
                </c:pt>
                <c:pt idx="2">
                  <c:v>55.827057279071376</c:v>
                </c:pt>
                <c:pt idx="3">
                  <c:v>57.504493971454878</c:v>
                </c:pt>
                <c:pt idx="4">
                  <c:v>36.988530366890075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Datasheet'!$AE$10</c:f>
              <c:numCache>
                <c:formatCode>General</c:formatCode>
                <c:ptCount val="1"/>
                <c:pt idx="0">
                  <c:v>734.58995096182775</c:v>
                </c:pt>
              </c:numCache>
            </c:numRef>
          </c:xVal>
          <c:yVal>
            <c:numRef>
              <c:f>'Smoke Point Datasheet'!$S$10</c:f>
              <c:numCache>
                <c:formatCode>General</c:formatCode>
                <c:ptCount val="1"/>
                <c:pt idx="0">
                  <c:v>105.22075589027845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Datasheet'!$AE$11:$AE$13</c:f>
              <c:numCache>
                <c:formatCode>General</c:formatCode>
                <c:ptCount val="3"/>
                <c:pt idx="0">
                  <c:v>82.342096239400732</c:v>
                </c:pt>
                <c:pt idx="1">
                  <c:v>68.618413532833941</c:v>
                </c:pt>
                <c:pt idx="2">
                  <c:v>48.927912258194631</c:v>
                </c:pt>
              </c:numCache>
            </c:numRef>
          </c:xVal>
          <c:yVal>
            <c:numRef>
              <c:f>'Smoke Point Datasheet'!$S$11:$S$13</c:f>
              <c:numCache>
                <c:formatCode>General</c:formatCode>
                <c:ptCount val="3"/>
                <c:pt idx="0">
                  <c:v>71.383567938857453</c:v>
                </c:pt>
                <c:pt idx="1">
                  <c:v>61.119455328205881</c:v>
                </c:pt>
                <c:pt idx="2">
                  <c:v>45.522586348649611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Datasheet'!$AE$14:$AE$16</c:f>
              <c:numCache>
                <c:formatCode>General</c:formatCode>
                <c:ptCount val="3"/>
                <c:pt idx="0">
                  <c:v>460.4892229909965</c:v>
                </c:pt>
                <c:pt idx="1">
                  <c:v>315.76403862239755</c:v>
                </c:pt>
                <c:pt idx="2">
                  <c:v>271.03079981755792</c:v>
                </c:pt>
              </c:numCache>
            </c:numRef>
          </c:xVal>
          <c:yVal>
            <c:numRef>
              <c:f>'Smoke Point Datasheet'!$S$14:$S$16</c:f>
              <c:numCache>
                <c:formatCode>General</c:formatCode>
                <c:ptCount val="3"/>
                <c:pt idx="0">
                  <c:v>105.45049402335384</c:v>
                </c:pt>
                <c:pt idx="1">
                  <c:v>75.584536723554208</c:v>
                </c:pt>
                <c:pt idx="2">
                  <c:v>64.327368202860498</c:v>
                </c:pt>
              </c:numCache>
            </c:numRef>
          </c:yVal>
          <c:smooth val="0"/>
        </c:ser>
        <c:ser>
          <c:idx val="3"/>
          <c:order val="4"/>
          <c:tx>
            <c:v>75% Propylene 1.6mm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Datasheet'!$AE$17:$AE$26</c:f>
              <c:numCache>
                <c:formatCode>General</c:formatCode>
                <c:ptCount val="10"/>
                <c:pt idx="0">
                  <c:v>59.386273431663412</c:v>
                </c:pt>
                <c:pt idx="1">
                  <c:v>58.589142244661225</c:v>
                </c:pt>
                <c:pt idx="2">
                  <c:v>46.632174439628322</c:v>
                </c:pt>
                <c:pt idx="3">
                  <c:v>41.849387317615161</c:v>
                </c:pt>
                <c:pt idx="4">
                  <c:v>31.486681886586641</c:v>
                </c:pt>
                <c:pt idx="5">
                  <c:v>19.928279675054835</c:v>
                </c:pt>
                <c:pt idx="6">
                  <c:v>19.529714081553742</c:v>
                </c:pt>
                <c:pt idx="7">
                  <c:v>28.696722732078964</c:v>
                </c:pt>
                <c:pt idx="8">
                  <c:v>20.725410862057029</c:v>
                </c:pt>
                <c:pt idx="9">
                  <c:v>24.312501203566903</c:v>
                </c:pt>
              </c:numCache>
            </c:numRef>
          </c:xVal>
          <c:yVal>
            <c:numRef>
              <c:f>'Smoke Point Datasheet'!$S$17:$S$26</c:f>
              <c:numCache>
                <c:formatCode>General</c:formatCode>
                <c:ptCount val="10"/>
                <c:pt idx="0">
                  <c:v>37.67774476611622</c:v>
                </c:pt>
                <c:pt idx="1">
                  <c:v>35.839839701513156</c:v>
                </c:pt>
                <c:pt idx="2">
                  <c:v>31.704553306156285</c:v>
                </c:pt>
                <c:pt idx="3">
                  <c:v>26.650314378497882</c:v>
                </c:pt>
                <c:pt idx="4">
                  <c:v>21.13659918468872</c:v>
                </c:pt>
                <c:pt idx="5">
                  <c:v>14.474193325502654</c:v>
                </c:pt>
                <c:pt idx="6">
                  <c:v>14.158540794131824</c:v>
                </c:pt>
                <c:pt idx="7">
                  <c:v>20.364052322316638</c:v>
                </c:pt>
                <c:pt idx="8">
                  <c:v>15.608727809261254</c:v>
                </c:pt>
                <c:pt idx="9">
                  <c:v>17.881738322287148</c:v>
                </c:pt>
              </c:numCache>
            </c:numRef>
          </c:yVal>
          <c:smooth val="0"/>
        </c:ser>
        <c:ser>
          <c:idx val="4"/>
          <c:order val="5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Datasheet'!$AE$27:$AE$30</c:f>
              <c:numCache>
                <c:formatCode>General</c:formatCode>
                <c:ptCount val="4"/>
                <c:pt idx="0">
                  <c:v>261.89346583363567</c:v>
                </c:pt>
                <c:pt idx="1">
                  <c:v>123.03719871378857</c:v>
                </c:pt>
                <c:pt idx="2">
                  <c:v>119.5218501791089</c:v>
                </c:pt>
                <c:pt idx="3">
                  <c:v>274.19718570501453</c:v>
                </c:pt>
              </c:numCache>
            </c:numRef>
          </c:xVal>
          <c:yVal>
            <c:numRef>
              <c:f>'Smoke Point Datasheet'!$S$27:$S$30</c:f>
              <c:numCache>
                <c:formatCode>General</c:formatCode>
                <c:ptCount val="4"/>
                <c:pt idx="0">
                  <c:v>39.515649830719269</c:v>
                </c:pt>
                <c:pt idx="1">
                  <c:v>21.973157245733759</c:v>
                </c:pt>
                <c:pt idx="2">
                  <c:v>20.154748835313043</c:v>
                </c:pt>
                <c:pt idx="3">
                  <c:v>43.97615819320869</c:v>
                </c:pt>
              </c:numCache>
            </c:numRef>
          </c:yVal>
          <c:smooth val="0"/>
        </c:ser>
        <c:ser>
          <c:idx val="5"/>
          <c:order val="6"/>
          <c:tx>
            <c:v>50% Propylene 1.6mm</c:v>
          </c:tx>
          <c:spPr>
            <a:ln w="28575">
              <a:noFill/>
            </a:ln>
          </c:spPr>
          <c:marker>
            <c:symbol val="x"/>
            <c:size val="8"/>
            <c:spPr>
              <a:blipFill dpi="0" rotWithShape="0">
                <a:blip xmlns:r="http://schemas.openxmlformats.org/officeDocument/2006/relationships" r:embed="rId1"/>
                <a:srcRect/>
                <a:stretch>
                  <a:fillRect/>
                </a:stretch>
              </a:blipFill>
              <a:ln w="9525">
                <a:noFill/>
              </a:ln>
            </c:spPr>
          </c:marker>
          <c:xVal>
            <c:numRef>
              <c:f>'Smoke Point Datasheet'!$AE$31:$AE$37</c:f>
              <c:numCache>
                <c:formatCode>General</c:formatCode>
                <c:ptCount val="7"/>
                <c:pt idx="0">
                  <c:v>98.800453240050246</c:v>
                </c:pt>
                <c:pt idx="1">
                  <c:v>75.18473514852603</c:v>
                </c:pt>
                <c:pt idx="2">
                  <c:v>55.424644500515988</c:v>
                </c:pt>
                <c:pt idx="3">
                  <c:v>74.702781718086769</c:v>
                </c:pt>
                <c:pt idx="4">
                  <c:v>99.764360100928783</c:v>
                </c:pt>
                <c:pt idx="5">
                  <c:v>112.77710272278907</c:v>
                </c:pt>
                <c:pt idx="6">
                  <c:v>49.641203335244761</c:v>
                </c:pt>
              </c:numCache>
            </c:numRef>
          </c:xVal>
          <c:yVal>
            <c:numRef>
              <c:f>'Smoke Point Datasheet'!$S$31:$S$37</c:f>
              <c:numCache>
                <c:formatCode>General</c:formatCode>
                <c:ptCount val="7"/>
                <c:pt idx="0">
                  <c:v>41.72808115184219</c:v>
                </c:pt>
                <c:pt idx="1">
                  <c:v>32.501314628506648</c:v>
                </c:pt>
                <c:pt idx="2">
                  <c:v>26.515626471498351</c:v>
                </c:pt>
                <c:pt idx="3">
                  <c:v>33.41256921447696</c:v>
                </c:pt>
                <c:pt idx="4">
                  <c:v>42.378594780349147</c:v>
                </c:pt>
                <c:pt idx="5">
                  <c:v>49.505435614760387</c:v>
                </c:pt>
                <c:pt idx="6">
                  <c:v>22.121202289754166</c:v>
                </c:pt>
              </c:numCache>
            </c:numRef>
          </c:yVal>
          <c:smooth val="0"/>
        </c:ser>
        <c:ser>
          <c:idx val="6"/>
          <c:order val="7"/>
          <c:tx>
            <c:v>Propylene 1.6mm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Datasheet'!$AE$38:$AE$47</c:f>
              <c:numCache>
                <c:formatCode>General</c:formatCode>
                <c:ptCount val="10"/>
                <c:pt idx="0">
                  <c:v>28.541282150613537</c:v>
                </c:pt>
                <c:pt idx="1">
                  <c:v>20.726407276040781</c:v>
                </c:pt>
                <c:pt idx="2">
                  <c:v>15.629749749145509</c:v>
                </c:pt>
                <c:pt idx="3">
                  <c:v>12.571755233008343</c:v>
                </c:pt>
                <c:pt idx="4">
                  <c:v>16.309304086064877</c:v>
                </c:pt>
                <c:pt idx="5">
                  <c:v>11.212646559169603</c:v>
                </c:pt>
                <c:pt idx="6">
                  <c:v>20.386630107581095</c:v>
                </c:pt>
                <c:pt idx="7">
                  <c:v>33.298162509049128</c:v>
                </c:pt>
                <c:pt idx="8">
                  <c:v>27.521950645234483</c:v>
                </c:pt>
                <c:pt idx="9">
                  <c:v>21.745738781419835</c:v>
                </c:pt>
              </c:numCache>
            </c:numRef>
          </c:xVal>
          <c:yVal>
            <c:numRef>
              <c:f>'Smoke Point Datasheet'!$S$38:$S$47</c:f>
              <c:numCache>
                <c:formatCode>General</c:formatCode>
                <c:ptCount val="10"/>
                <c:pt idx="0">
                  <c:v>25.731627702244865</c:v>
                </c:pt>
                <c:pt idx="1">
                  <c:v>19.634050140212551</c:v>
                </c:pt>
                <c:pt idx="2">
                  <c:v>15.794834638192199</c:v>
                </c:pt>
                <c:pt idx="3">
                  <c:v>13.988144990182633</c:v>
                </c:pt>
                <c:pt idx="4">
                  <c:v>15.486779909668897</c:v>
                </c:pt>
                <c:pt idx="5">
                  <c:v>13.416820766403589</c:v>
                </c:pt>
                <c:pt idx="6">
                  <c:v>17.556739052934205</c:v>
                </c:pt>
                <c:pt idx="7">
                  <c:v>26.526562007083882</c:v>
                </c:pt>
                <c:pt idx="8">
                  <c:v>23.076630101641697</c:v>
                </c:pt>
                <c:pt idx="9">
                  <c:v>19.396702735836712</c:v>
                </c:pt>
              </c:numCache>
            </c:numRef>
          </c:yVal>
          <c:smooth val="0"/>
        </c:ser>
        <c:ser>
          <c:idx val="7"/>
          <c:order val="8"/>
          <c:tx>
            <c:v>Propylene 0.76mm</c:v>
          </c:tx>
          <c:spPr>
            <a:ln w="28575">
              <a:noFill/>
            </a:ln>
          </c:spPr>
          <c:marker>
            <c:symbol val="diamond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Datasheet'!$AE$48:$AE$55</c:f>
              <c:numCache>
                <c:formatCode>General</c:formatCode>
                <c:ptCount val="8"/>
                <c:pt idx="0">
                  <c:v>125.86705428420569</c:v>
                </c:pt>
                <c:pt idx="1">
                  <c:v>103.39079459059754</c:v>
                </c:pt>
                <c:pt idx="2">
                  <c:v>95.898708026061485</c:v>
                </c:pt>
                <c:pt idx="3">
                  <c:v>92.901873400247069</c:v>
                </c:pt>
                <c:pt idx="4">
                  <c:v>65.930361767917276</c:v>
                </c:pt>
                <c:pt idx="5">
                  <c:v>166.32432173270038</c:v>
                </c:pt>
                <c:pt idx="6">
                  <c:v>119.87338503257685</c:v>
                </c:pt>
                <c:pt idx="7">
                  <c:v>61.435109829195639</c:v>
                </c:pt>
              </c:numCache>
            </c:numRef>
          </c:xVal>
          <c:yVal>
            <c:numRef>
              <c:f>'Smoke Point Datasheet'!$S$48:$S$55</c:f>
              <c:numCache>
                <c:formatCode>General</c:formatCode>
                <c:ptCount val="8"/>
                <c:pt idx="0">
                  <c:v>26.634972526249655</c:v>
                </c:pt>
                <c:pt idx="1">
                  <c:v>22.795757024229317</c:v>
                </c:pt>
                <c:pt idx="2">
                  <c:v>21.666575994223322</c:v>
                </c:pt>
                <c:pt idx="3">
                  <c:v>21.926652799827636</c:v>
                </c:pt>
                <c:pt idx="4">
                  <c:v>15.946770830394527</c:v>
                </c:pt>
                <c:pt idx="5">
                  <c:v>31.816457595428545</c:v>
                </c:pt>
                <c:pt idx="6">
                  <c:v>26.296566546721067</c:v>
                </c:pt>
                <c:pt idx="7">
                  <c:v>14.213981196183823</c:v>
                </c:pt>
              </c:numCache>
            </c:numRef>
          </c:yVal>
          <c:smooth val="0"/>
        </c:ser>
        <c:ser>
          <c:idx val="8"/>
          <c:order val="9"/>
          <c:tx>
            <c:v>Propylene 0.41mm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969696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Datasheet'!$AE$56:$AE$59</c:f>
              <c:numCache>
                <c:formatCode>General</c:formatCode>
                <c:ptCount val="4"/>
                <c:pt idx="0">
                  <c:v>716.43077773376035</c:v>
                </c:pt>
                <c:pt idx="1">
                  <c:v>595.26969032290378</c:v>
                </c:pt>
                <c:pt idx="2">
                  <c:v>763.84163802496505</c:v>
                </c:pt>
                <c:pt idx="3">
                  <c:v>484.64434964342615</c:v>
                </c:pt>
              </c:numCache>
            </c:numRef>
          </c:xVal>
          <c:yVal>
            <c:numRef>
              <c:f>'Smoke Point Datasheet'!$S$56:$S$59</c:f>
              <c:numCache>
                <c:formatCode>General</c:formatCode>
                <c:ptCount val="4"/>
                <c:pt idx="0">
                  <c:v>53.283644834390898</c:v>
                </c:pt>
                <c:pt idx="1">
                  <c:v>46.96023106635738</c:v>
                </c:pt>
                <c:pt idx="2">
                  <c:v>59.185917378603172</c:v>
                </c:pt>
                <c:pt idx="3">
                  <c:v>37.700946620308301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14368"/>
        <c:axId val="127916672"/>
      </c:scatterChart>
      <c:valAx>
        <c:axId val="127914368"/>
        <c:scaling>
          <c:logBase val="10"/>
          <c:orientation val="minMax"/>
          <c:max val="1000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5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u</a:t>
                </a:r>
                <a:r>
                  <a:rPr lang="en-US" sz="15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f</a:t>
                </a:r>
                <a:r>
                  <a:rPr lang="en-US" sz="15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(cm/s)</a:t>
                </a:r>
              </a:p>
            </c:rich>
          </c:tx>
          <c:layout>
            <c:manualLayout>
              <c:xMode val="edge"/>
              <c:yMode val="edge"/>
              <c:x val="0.7635960044395117"/>
              <c:y val="0.81372549019607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16672"/>
        <c:crosses val="autoZero"/>
        <c:crossBetween val="midCat"/>
      </c:valAx>
      <c:valAx>
        <c:axId val="127916672"/>
        <c:scaling>
          <c:logBase val="10"/>
          <c:orientation val="minMax"/>
          <c:min val="10"/>
        </c:scaling>
        <c:delete val="0"/>
        <c:axPos val="l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5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L</a:t>
                </a:r>
                <a:r>
                  <a:rPr lang="en-US" sz="15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SP</a:t>
                </a:r>
                <a:r>
                  <a:rPr lang="en-US" sz="15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(mm)</a:t>
                </a:r>
              </a:p>
            </c:rich>
          </c:tx>
          <c:layout>
            <c:manualLayout>
              <c:xMode val="edge"/>
              <c:yMode val="edge"/>
              <c:x val="5.5493895671476137E-3"/>
              <c:y val="0.47058823529411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in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7914368"/>
        <c:crosses val="autoZero"/>
        <c:crossBetween val="midCat"/>
      </c:valAx>
      <c:spPr>
        <a:solidFill>
          <a:srgbClr val="FFFFFF"/>
        </a:solidFill>
        <a:ln w="31750">
          <a:solidFill>
            <a:schemeClr val="tx1"/>
          </a:solidFill>
          <a:prstDash val="solid"/>
        </a:ln>
      </c:spPr>
    </c:plotArea>
    <c:legend>
      <c:legendPos val="r"/>
      <c:legendEntry>
        <c:idx val="6"/>
        <c:txPr>
          <a:bodyPr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0.7380688124306326"/>
          <c:y val="0.10784313725490197"/>
          <c:w val="0.96448390677025519"/>
          <c:h val="0.36928104575163401"/>
        </c:manualLayout>
      </c:layout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10876803551609"/>
          <c:y val="4.8939641109298535E-2"/>
          <c:w val="0.55863854975952643"/>
          <c:h val="0.80913539967373571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Datasheet'!$AD$5:$AD$9</c:f>
              <c:numCache>
                <c:formatCode>General</c:formatCode>
                <c:ptCount val="5"/>
                <c:pt idx="0">
                  <c:v>58.016276553281713</c:v>
                </c:pt>
                <c:pt idx="1">
                  <c:v>33.570676556049591</c:v>
                </c:pt>
                <c:pt idx="2">
                  <c:v>39.211968863103159</c:v>
                </c:pt>
                <c:pt idx="3">
                  <c:v>36.391322709576379</c:v>
                </c:pt>
                <c:pt idx="4">
                  <c:v>18.527230403906753</c:v>
                </c:pt>
              </c:numCache>
            </c:numRef>
          </c:xVal>
          <c:yVal>
            <c:numRef>
              <c:f>'Smoke Point Datasheet'!$AE$5:$AE$9</c:f>
              <c:numCache>
                <c:formatCode>General</c:formatCode>
                <c:ptCount val="5"/>
                <c:pt idx="0">
                  <c:v>141.71194099172226</c:v>
                </c:pt>
                <c:pt idx="1">
                  <c:v>102.9276202992509</c:v>
                </c:pt>
                <c:pt idx="2">
                  <c:v>104.91655982194175</c:v>
                </c:pt>
                <c:pt idx="3">
                  <c:v>103.92209006059632</c:v>
                </c:pt>
                <c:pt idx="4">
                  <c:v>69.612883294179355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Datasheet'!$AD$10</c:f>
              <c:numCache>
                <c:formatCode>General</c:formatCode>
                <c:ptCount val="1"/>
                <c:pt idx="0">
                  <c:v>17.587015019397825</c:v>
                </c:pt>
              </c:numCache>
            </c:numRef>
          </c:xVal>
          <c:yVal>
            <c:numRef>
              <c:f>'Smoke Point Datasheet'!$AE$10</c:f>
              <c:numCache>
                <c:formatCode>General</c:formatCode>
                <c:ptCount val="1"/>
                <c:pt idx="0">
                  <c:v>734.58995096182775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Datasheet'!$AD$11:$AD$13</c:f>
              <c:numCache>
                <c:formatCode>General</c:formatCode>
                <c:ptCount val="3"/>
                <c:pt idx="0">
                  <c:v>44.853261170156728</c:v>
                </c:pt>
                <c:pt idx="1">
                  <c:v>36.391322709576379</c:v>
                </c:pt>
                <c:pt idx="2">
                  <c:v>22.288091941942461</c:v>
                </c:pt>
              </c:numCache>
            </c:numRef>
          </c:xVal>
          <c:yVal>
            <c:numRef>
              <c:f>'Smoke Point Datasheet'!$AE$11:$AE$13</c:f>
              <c:numCache>
                <c:formatCode>General</c:formatCode>
                <c:ptCount val="3"/>
                <c:pt idx="0">
                  <c:v>82.342096239400732</c:v>
                </c:pt>
                <c:pt idx="1">
                  <c:v>68.618413532833941</c:v>
                </c:pt>
                <c:pt idx="2">
                  <c:v>48.927912258194631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lgDash"/>
              </a:ln>
            </c:spPr>
            <c:trendlineType val="linear"/>
            <c:dispRSqr val="0"/>
            <c:dispEq val="0"/>
          </c:trendline>
          <c:xVal>
            <c:numRef>
              <c:f>'Smoke Point Datasheet'!$AD$14:$AD$16</c:f>
              <c:numCache>
                <c:formatCode>General</c:formatCode>
                <c:ptCount val="3"/>
                <c:pt idx="0">
                  <c:v>33.570676556049591</c:v>
                </c:pt>
                <c:pt idx="1">
                  <c:v>21.347876557433533</c:v>
                </c:pt>
                <c:pt idx="2">
                  <c:v>16.646799634888897</c:v>
                </c:pt>
              </c:numCache>
            </c:numRef>
          </c:xVal>
          <c:yVal>
            <c:numRef>
              <c:f>'Smoke Point Datasheet'!$AE$14:$AE$16</c:f>
              <c:numCache>
                <c:formatCode>General</c:formatCode>
                <c:ptCount val="3"/>
                <c:pt idx="0">
                  <c:v>460.4892229909965</c:v>
                </c:pt>
                <c:pt idx="1">
                  <c:v>315.76403862239755</c:v>
                </c:pt>
                <c:pt idx="2">
                  <c:v>271.03079981755792</c:v>
                </c:pt>
              </c:numCache>
            </c:numRef>
          </c:yVal>
          <c:smooth val="0"/>
        </c:ser>
        <c:ser>
          <c:idx val="3"/>
          <c:order val="4"/>
          <c:tx>
            <c:v>75% Propylene 1.6mm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Datasheet'!$AD$17:$AD$28</c:f>
              <c:numCache>
                <c:formatCode>General</c:formatCode>
                <c:ptCount val="12"/>
                <c:pt idx="0">
                  <c:v>64.597784244844206</c:v>
                </c:pt>
                <c:pt idx="1">
                  <c:v>58.956491937790645</c:v>
                </c:pt>
                <c:pt idx="2">
                  <c:v>51.43476886171922</c:v>
                </c:pt>
                <c:pt idx="3">
                  <c:v>42.03261501662994</c:v>
                </c:pt>
                <c:pt idx="4">
                  <c:v>28.869599633504954</c:v>
                </c:pt>
                <c:pt idx="5">
                  <c:v>12.885938096853188</c:v>
                </c:pt>
                <c:pt idx="6">
                  <c:v>12.885938096853188</c:v>
                </c:pt>
                <c:pt idx="7">
                  <c:v>26.989168864487098</c:v>
                </c:pt>
                <c:pt idx="8">
                  <c:v>16.646799634888897</c:v>
                </c:pt>
                <c:pt idx="9">
                  <c:v>23.22830732645139</c:v>
                </c:pt>
                <c:pt idx="10">
                  <c:v>37.331538094085303</c:v>
                </c:pt>
                <c:pt idx="11">
                  <c:v>14.766368865871041</c:v>
                </c:pt>
              </c:numCache>
            </c:numRef>
          </c:xVal>
          <c:yVal>
            <c:numRef>
              <c:f>'Smoke Point Datasheet'!$AE$17:$AE$26</c:f>
              <c:numCache>
                <c:formatCode>General</c:formatCode>
                <c:ptCount val="10"/>
                <c:pt idx="0">
                  <c:v>59.386273431663412</c:v>
                </c:pt>
                <c:pt idx="1">
                  <c:v>58.589142244661225</c:v>
                </c:pt>
                <c:pt idx="2">
                  <c:v>46.632174439628322</c:v>
                </c:pt>
                <c:pt idx="3">
                  <c:v>41.849387317615161</c:v>
                </c:pt>
                <c:pt idx="4">
                  <c:v>31.486681886586641</c:v>
                </c:pt>
                <c:pt idx="5">
                  <c:v>19.928279675054835</c:v>
                </c:pt>
                <c:pt idx="6">
                  <c:v>19.529714081553742</c:v>
                </c:pt>
                <c:pt idx="7">
                  <c:v>28.696722732078964</c:v>
                </c:pt>
                <c:pt idx="8">
                  <c:v>20.725410862057029</c:v>
                </c:pt>
                <c:pt idx="9">
                  <c:v>24.312501203566903</c:v>
                </c:pt>
              </c:numCache>
            </c:numRef>
          </c:yVal>
          <c:smooth val="0"/>
        </c:ser>
        <c:ser>
          <c:idx val="4"/>
          <c:order val="5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lgDash"/>
              </a:ln>
            </c:spPr>
            <c:trendlineType val="linear"/>
            <c:dispRSqr val="0"/>
            <c:dispEq val="0"/>
          </c:trendline>
          <c:xVal>
            <c:numRef>
              <c:f>'Smoke Point Datasheet'!$AD$27:$AD$30</c:f>
              <c:numCache>
                <c:formatCode>General</c:formatCode>
                <c:ptCount val="4"/>
                <c:pt idx="0">
                  <c:v>37.331538094085303</c:v>
                </c:pt>
                <c:pt idx="1">
                  <c:v>14.766368865871041</c:v>
                </c:pt>
                <c:pt idx="2">
                  <c:v>14.766368865871041</c:v>
                </c:pt>
                <c:pt idx="3">
                  <c:v>38.271753478594235</c:v>
                </c:pt>
              </c:numCache>
            </c:numRef>
          </c:xVal>
          <c:yVal>
            <c:numRef>
              <c:f>'Smoke Point Datasheet'!$AE$27:$AE$30</c:f>
              <c:numCache>
                <c:formatCode>General</c:formatCode>
                <c:ptCount val="4"/>
                <c:pt idx="0">
                  <c:v>261.89346583363567</c:v>
                </c:pt>
                <c:pt idx="1">
                  <c:v>123.03719871378857</c:v>
                </c:pt>
                <c:pt idx="2">
                  <c:v>119.5218501791089</c:v>
                </c:pt>
                <c:pt idx="3">
                  <c:v>274.19718570501453</c:v>
                </c:pt>
              </c:numCache>
            </c:numRef>
          </c:yVal>
          <c:smooth val="0"/>
        </c:ser>
        <c:ser>
          <c:idx val="5"/>
          <c:order val="6"/>
          <c:tx>
            <c:v>50% Propylene 1.6mm</c:v>
          </c:tx>
          <c:spPr>
            <a:ln w="28575">
              <a:noFill/>
            </a:ln>
          </c:spPr>
          <c:marker>
            <c:symbol val="x"/>
            <c:size val="8"/>
            <c:spPr>
              <a:blipFill dpi="0" rotWithShape="0">
                <a:blip xmlns:r="http://schemas.openxmlformats.org/officeDocument/2006/relationships" r:embed="rId1"/>
                <a:srcRect/>
                <a:stretch>
                  <a:fillRect/>
                </a:stretch>
              </a:blipFill>
              <a:ln w="9525">
                <a:noFill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Datasheet'!$AD$31:$AD$37</c:f>
              <c:numCache>
                <c:formatCode>General</c:formatCode>
                <c:ptCount val="7"/>
                <c:pt idx="0">
                  <c:v>40.152184247612084</c:v>
                </c:pt>
                <c:pt idx="1">
                  <c:v>26.048953479978174</c:v>
                </c:pt>
                <c:pt idx="2">
                  <c:v>12.885938096853188</c:v>
                </c:pt>
                <c:pt idx="3">
                  <c:v>26.048953479978174</c:v>
                </c:pt>
                <c:pt idx="4">
                  <c:v>40.152184247612084</c:v>
                </c:pt>
                <c:pt idx="5">
                  <c:v>48.614122708192433</c:v>
                </c:pt>
                <c:pt idx="6">
                  <c:v>11.005507327835332</c:v>
                </c:pt>
              </c:numCache>
            </c:numRef>
          </c:xVal>
          <c:yVal>
            <c:numRef>
              <c:f>'Smoke Point Datasheet'!$AE$31:$AE$37</c:f>
              <c:numCache>
                <c:formatCode>General</c:formatCode>
                <c:ptCount val="7"/>
                <c:pt idx="0">
                  <c:v>98.800453240050246</c:v>
                </c:pt>
                <c:pt idx="1">
                  <c:v>75.18473514852603</c:v>
                </c:pt>
                <c:pt idx="2">
                  <c:v>55.424644500515988</c:v>
                </c:pt>
                <c:pt idx="3">
                  <c:v>74.702781718086769</c:v>
                </c:pt>
                <c:pt idx="4">
                  <c:v>99.764360100928783</c:v>
                </c:pt>
                <c:pt idx="5">
                  <c:v>112.77710272278907</c:v>
                </c:pt>
                <c:pt idx="6">
                  <c:v>49.641203335244761</c:v>
                </c:pt>
              </c:numCache>
            </c:numRef>
          </c:yVal>
          <c:smooth val="0"/>
        </c:ser>
        <c:ser>
          <c:idx val="6"/>
          <c:order val="7"/>
          <c:tx>
            <c:v>Propylene 1.6mm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Datasheet'!$AD$38:$AD$47</c:f>
              <c:numCache>
                <c:formatCode>General</c:formatCode>
                <c:ptCount val="10"/>
                <c:pt idx="0">
                  <c:v>51.43476886171922</c:v>
                </c:pt>
                <c:pt idx="1">
                  <c:v>33.570676556049591</c:v>
                </c:pt>
                <c:pt idx="2">
                  <c:v>22.288091941942461</c:v>
                </c:pt>
                <c:pt idx="3">
                  <c:v>9.1250765588174758</c:v>
                </c:pt>
                <c:pt idx="4">
                  <c:v>20.407661172924605</c:v>
                </c:pt>
                <c:pt idx="5">
                  <c:v>10.065291943326404</c:v>
                </c:pt>
                <c:pt idx="6">
                  <c:v>29.809815018013886</c:v>
                </c:pt>
                <c:pt idx="7">
                  <c:v>57.076061168772782</c:v>
                </c:pt>
                <c:pt idx="8">
                  <c:v>46.733691939174577</c:v>
                </c:pt>
                <c:pt idx="9">
                  <c:v>40.152184247612084</c:v>
                </c:pt>
              </c:numCache>
            </c:numRef>
          </c:xVal>
          <c:yVal>
            <c:numRef>
              <c:f>'Smoke Point Datasheet'!$AE$38:$AE$47</c:f>
              <c:numCache>
                <c:formatCode>General</c:formatCode>
                <c:ptCount val="10"/>
                <c:pt idx="0">
                  <c:v>28.541282150613537</c:v>
                </c:pt>
                <c:pt idx="1">
                  <c:v>20.726407276040781</c:v>
                </c:pt>
                <c:pt idx="2">
                  <c:v>15.629749749145509</c:v>
                </c:pt>
                <c:pt idx="3">
                  <c:v>12.571755233008343</c:v>
                </c:pt>
                <c:pt idx="4">
                  <c:v>16.309304086064877</c:v>
                </c:pt>
                <c:pt idx="5">
                  <c:v>11.212646559169603</c:v>
                </c:pt>
                <c:pt idx="6">
                  <c:v>20.386630107581095</c:v>
                </c:pt>
                <c:pt idx="7">
                  <c:v>33.298162509049128</c:v>
                </c:pt>
                <c:pt idx="8">
                  <c:v>27.521950645234483</c:v>
                </c:pt>
                <c:pt idx="9">
                  <c:v>21.745738781419835</c:v>
                </c:pt>
              </c:numCache>
            </c:numRef>
          </c:yVal>
          <c:smooth val="0"/>
        </c:ser>
        <c:ser>
          <c:idx val="7"/>
          <c:order val="8"/>
          <c:tx>
            <c:v>Propylene 0.76mm</c:v>
          </c:tx>
          <c:spPr>
            <a:ln w="28575">
              <a:noFill/>
            </a:ln>
          </c:spPr>
          <c:marker>
            <c:symbol val="diamond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lgDash"/>
              </a:ln>
            </c:spPr>
            <c:trendlineType val="linear"/>
            <c:dispRSqr val="0"/>
            <c:dispEq val="0"/>
          </c:trendline>
          <c:xVal>
            <c:numRef>
              <c:f>'Smoke Point Datasheet'!$AD$48:$AD$55</c:f>
              <c:numCache>
                <c:formatCode>General</c:formatCode>
                <c:ptCount val="8"/>
                <c:pt idx="0">
                  <c:v>41.092399632121015</c:v>
                </c:pt>
                <c:pt idx="1">
                  <c:v>28.869599633504954</c:v>
                </c:pt>
                <c:pt idx="2">
                  <c:v>26.989168864487098</c:v>
                </c:pt>
                <c:pt idx="3">
                  <c:v>24.168522710960318</c:v>
                </c:pt>
                <c:pt idx="4">
                  <c:v>12.885938096853188</c:v>
                </c:pt>
                <c:pt idx="5">
                  <c:v>50.494553477210289</c:v>
                </c:pt>
                <c:pt idx="6">
                  <c:v>31.690245787031742</c:v>
                </c:pt>
                <c:pt idx="7">
                  <c:v>7.2446457897996197</c:v>
                </c:pt>
              </c:numCache>
            </c:numRef>
          </c:xVal>
          <c:yVal>
            <c:numRef>
              <c:f>'Smoke Point Datasheet'!$AE$48:$AE$55</c:f>
              <c:numCache>
                <c:formatCode>General</c:formatCode>
                <c:ptCount val="8"/>
                <c:pt idx="0">
                  <c:v>125.86705428420569</c:v>
                </c:pt>
                <c:pt idx="1">
                  <c:v>103.39079459059754</c:v>
                </c:pt>
                <c:pt idx="2">
                  <c:v>95.898708026061485</c:v>
                </c:pt>
                <c:pt idx="3">
                  <c:v>92.901873400247069</c:v>
                </c:pt>
                <c:pt idx="4">
                  <c:v>65.930361767917276</c:v>
                </c:pt>
                <c:pt idx="5">
                  <c:v>166.32432173270038</c:v>
                </c:pt>
                <c:pt idx="6">
                  <c:v>119.87338503257685</c:v>
                </c:pt>
                <c:pt idx="7">
                  <c:v>61.435109829195639</c:v>
                </c:pt>
              </c:numCache>
            </c:numRef>
          </c:yVal>
          <c:smooth val="0"/>
        </c:ser>
        <c:ser>
          <c:idx val="8"/>
          <c:order val="9"/>
          <c:tx>
            <c:v>Propylene 0.41mm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777777"/>
              </a:solidFill>
              <a:ln w="9525">
                <a:noFill/>
              </a:ln>
            </c:spPr>
          </c:marker>
          <c:trendline>
            <c:spPr>
              <a:ln w="12700">
                <a:solidFill>
                  <a:srgbClr val="969696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Datasheet'!$AD$56:$AD$59</c:f>
              <c:numCache>
                <c:formatCode>General</c:formatCode>
                <c:ptCount val="4"/>
                <c:pt idx="0">
                  <c:v>26.989168864487098</c:v>
                </c:pt>
                <c:pt idx="1">
                  <c:v>14.766368865871041</c:v>
                </c:pt>
                <c:pt idx="2">
                  <c:v>10.065291943326404</c:v>
                </c:pt>
                <c:pt idx="3">
                  <c:v>5.3642150207817654</c:v>
                </c:pt>
              </c:numCache>
            </c:numRef>
          </c:xVal>
          <c:yVal>
            <c:numRef>
              <c:f>'Smoke Point Datasheet'!$AE$56:$AE$59</c:f>
              <c:numCache>
                <c:formatCode>General</c:formatCode>
                <c:ptCount val="4"/>
                <c:pt idx="0">
                  <c:v>716.43077773376035</c:v>
                </c:pt>
                <c:pt idx="1">
                  <c:v>595.26969032290378</c:v>
                </c:pt>
                <c:pt idx="2">
                  <c:v>763.84163802496505</c:v>
                </c:pt>
                <c:pt idx="3">
                  <c:v>484.64434964342615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86944"/>
        <c:axId val="128397312"/>
      </c:scatterChart>
      <c:valAx>
        <c:axId val="128386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Coflow Velocity (cm/s)</a:t>
                </a:r>
              </a:p>
            </c:rich>
          </c:tx>
          <c:layout>
            <c:manualLayout>
              <c:xMode val="edge"/>
              <c:yMode val="edge"/>
              <c:x val="0.25860155382907879"/>
              <c:y val="0.900326797385620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397312"/>
        <c:crosses val="autoZero"/>
        <c:crossBetween val="midCat"/>
      </c:valAx>
      <c:valAx>
        <c:axId val="12839731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Fuel Jet Exit Velocity (cm/s)</a:t>
                </a:r>
              </a:p>
            </c:rich>
          </c:tx>
          <c:layout>
            <c:manualLayout>
              <c:xMode val="edge"/>
              <c:yMode val="edge"/>
              <c:x val="8.8790233074361822E-3"/>
              <c:y val="0.230392156862745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386944"/>
        <c:crosses val="autoZero"/>
        <c:crossBetween val="midCat"/>
      </c:valAx>
      <c:spPr>
        <a:solidFill>
          <a:srgbClr val="FFFFFF"/>
        </a:solidFill>
        <a:ln w="31750">
          <a:solidFill>
            <a:schemeClr val="tx1"/>
          </a:solidFill>
          <a:prstDash val="solid"/>
        </a:ln>
      </c:spPr>
    </c:plotArea>
    <c:legend>
      <c:legendPos val="r"/>
      <c:legendEntry>
        <c:idx val="6"/>
        <c:txPr>
          <a:bodyPr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0.35183129855715872"/>
          <c:y val="7.6797385620915037E-2"/>
          <c:w val="0.65038845726970029"/>
          <c:h val="0.33823529411764708"/>
        </c:manualLayout>
      </c:layout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76803551609324"/>
          <c:y val="2.6143790849673203E-2"/>
          <c:w val="0.6859045504994451"/>
          <c:h val="0.89869281045751637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Datasheet'!$AK$5:$AK$9</c:f>
              <c:numCache>
                <c:formatCode>General</c:formatCode>
                <c:ptCount val="5"/>
                <c:pt idx="0">
                  <c:v>825.76915617740042</c:v>
                </c:pt>
                <c:pt idx="1">
                  <c:v>599.7691765920066</c:v>
                </c:pt>
                <c:pt idx="2">
                  <c:v>611.35891913484738</c:v>
                </c:pt>
                <c:pt idx="3">
                  <c:v>605.56404786342705</c:v>
                </c:pt>
                <c:pt idx="4">
                  <c:v>405.64098899942479</c:v>
                </c:pt>
              </c:numCache>
            </c:numRef>
          </c:xVal>
          <c:yVal>
            <c:numRef>
              <c:f>'Smoke Point Datasheet'!$AN$5:$AN$9</c:f>
              <c:numCache>
                <c:formatCode>General</c:formatCode>
                <c:ptCount val="5"/>
                <c:pt idx="0">
                  <c:v>47.090862761204114</c:v>
                </c:pt>
                <c:pt idx="1">
                  <c:v>33.739002758697858</c:v>
                </c:pt>
                <c:pt idx="2">
                  <c:v>34.887549855687645</c:v>
                </c:pt>
                <c:pt idx="3">
                  <c:v>35.935816755064913</c:v>
                </c:pt>
                <c:pt idx="4">
                  <c:v>23.114942111542351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Datasheet'!$AK$10</c:f>
              <c:numCache>
                <c:formatCode>General</c:formatCode>
                <c:ptCount val="1"/>
                <c:pt idx="0">
                  <c:v>2038.3459697221097</c:v>
                </c:pt>
              </c:numCache>
            </c:numRef>
          </c:xVal>
          <c:yVal>
            <c:numRef>
              <c:f>'Smoke Point Datasheet'!$AN$10</c:f>
              <c:numCache>
                <c:formatCode>General</c:formatCode>
                <c:ptCount val="1"/>
                <c:pt idx="0">
                  <c:v>138.08498148330506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Datasheet'!$AK$11:$AK$13</c:f>
              <c:numCache>
                <c:formatCode>General</c:formatCode>
                <c:ptCount val="3"/>
                <c:pt idx="0">
                  <c:v>816.98411316031218</c:v>
                </c:pt>
                <c:pt idx="1">
                  <c:v>680.82009430026039</c:v>
                </c:pt>
                <c:pt idx="2">
                  <c:v>485.45432810975069</c:v>
                </c:pt>
              </c:numCache>
            </c:numRef>
          </c:xVal>
          <c:yVal>
            <c:numRef>
              <c:f>'Smoke Point Datasheet'!$AN$11:$AN$13</c:f>
              <c:numCache>
                <c:formatCode>General</c:formatCode>
                <c:ptCount val="3"/>
                <c:pt idx="0">
                  <c:v>44.609153817558713</c:v>
                </c:pt>
                <c:pt idx="1">
                  <c:v>38.194885219476241</c:v>
                </c:pt>
                <c:pt idx="2">
                  <c:v>28.448060460348461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Datasheet'!$AK$14:$AK$16</c:f>
              <c:numCache>
                <c:formatCode>General</c:formatCode>
                <c:ptCount val="3"/>
                <c:pt idx="0">
                  <c:v>2175.66421439431</c:v>
                </c:pt>
                <c:pt idx="1">
                  <c:v>1491.8840327275266</c:v>
                </c:pt>
                <c:pt idx="2">
                  <c:v>1280.5337947577939</c:v>
                </c:pt>
              </c:numCache>
            </c:numRef>
          </c:xVal>
          <c:yVal>
            <c:numRef>
              <c:f>'Smoke Point Datasheet'!$AN$14:$AN$16</c:f>
              <c:numCache>
                <c:formatCode>General</c:formatCode>
                <c:ptCount val="3"/>
                <c:pt idx="0">
                  <c:v>138.38647509626489</c:v>
                </c:pt>
                <c:pt idx="1">
                  <c:v>99.192305411488462</c:v>
                </c:pt>
                <c:pt idx="2">
                  <c:v>84.419118376457348</c:v>
                </c:pt>
              </c:numCache>
            </c:numRef>
          </c:yVal>
          <c:smooth val="0"/>
        </c:ser>
        <c:ser>
          <c:idx val="3"/>
          <c:order val="4"/>
          <c:tx>
            <c:v>75% Propylene 1.6mm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Datasheet'!$AK$17:$AK$28</c:f>
              <c:numCache>
                <c:formatCode>General</c:formatCode>
                <c:ptCount val="12"/>
                <c:pt idx="0">
                  <c:v>394.77503493563671</c:v>
                </c:pt>
                <c:pt idx="1">
                  <c:v>389.47604117811142</c:v>
                </c:pt>
                <c:pt idx="2">
                  <c:v>309.99113481523148</c:v>
                </c:pt>
                <c:pt idx="3">
                  <c:v>278.19717227007959</c:v>
                </c:pt>
                <c:pt idx="4">
                  <c:v>209.3102534222503</c:v>
                </c:pt>
                <c:pt idx="5">
                  <c:v>132.47484393813309</c:v>
                </c:pt>
                <c:pt idx="6">
                  <c:v>129.82534705937047</c:v>
                </c:pt>
                <c:pt idx="7">
                  <c:v>190.76377527091168</c:v>
                </c:pt>
                <c:pt idx="8">
                  <c:v>137.77383769565841</c:v>
                </c:pt>
                <c:pt idx="9">
                  <c:v>161.61930960452239</c:v>
                </c:pt>
                <c:pt idx="10">
                  <c:v>829.02757336483705</c:v>
                </c:pt>
                <c:pt idx="11">
                  <c:v>389.47604117811136</c:v>
                </c:pt>
              </c:numCache>
            </c:numRef>
          </c:xVal>
          <c:yVal>
            <c:numRef>
              <c:f>'Smoke Point Datasheet'!$AN$17:$AN$26</c:f>
              <c:numCache>
                <c:formatCode>General</c:formatCode>
                <c:ptCount val="10"/>
                <c:pt idx="0">
                  <c:v>23.545647272913524</c:v>
                </c:pt>
                <c:pt idx="1">
                  <c:v>22.397100175923732</c:v>
                </c:pt>
                <c:pt idx="2">
                  <c:v>19.812869207696714</c:v>
                </c:pt>
                <c:pt idx="3">
                  <c:v>16.654364690974802</c:v>
                </c:pt>
                <c:pt idx="4">
                  <c:v>13.208723400005448</c:v>
                </c:pt>
                <c:pt idx="5">
                  <c:v>9.045240173417481</c:v>
                </c:pt>
                <c:pt idx="6">
                  <c:v>8.8479819985825667</c:v>
                </c:pt>
                <c:pt idx="7">
                  <c:v>12.725941958703061</c:v>
                </c:pt>
                <c:pt idx="8">
                  <c:v>9.7542356013381166</c:v>
                </c:pt>
                <c:pt idx="9">
                  <c:v>11.174689615227564</c:v>
                </c:pt>
              </c:numCache>
            </c:numRef>
          </c:yVal>
          <c:smooth val="0"/>
        </c:ser>
        <c:ser>
          <c:idx val="4"/>
          <c:order val="5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Datasheet'!$AK$27:$AK$30</c:f>
              <c:numCache>
                <c:formatCode>General</c:formatCode>
                <c:ptCount val="4"/>
                <c:pt idx="0">
                  <c:v>829.02757336483705</c:v>
                </c:pt>
                <c:pt idx="1">
                  <c:v>389.47604117811136</c:v>
                </c:pt>
                <c:pt idx="2">
                  <c:v>378.34815428730826</c:v>
                </c:pt>
                <c:pt idx="3">
                  <c:v>867.97517748264841</c:v>
                </c:pt>
              </c:numCache>
            </c:numRef>
          </c:xVal>
          <c:yVal>
            <c:numRef>
              <c:f>'Smoke Point Datasheet'!$AN$27:$AN$30</c:f>
              <c:numCache>
                <c:formatCode>General</c:formatCode>
                <c:ptCount val="4"/>
                <c:pt idx="0">
                  <c:v>51.857808176796944</c:v>
                </c:pt>
                <c:pt idx="1">
                  <c:v>28.836164364479998</c:v>
                </c:pt>
                <c:pt idx="2">
                  <c:v>26.449801621145724</c:v>
                </c:pt>
                <c:pt idx="3">
                  <c:v>57.711493691874921</c:v>
                </c:pt>
              </c:numCache>
            </c:numRef>
          </c:yVal>
          <c:smooth val="0"/>
        </c:ser>
        <c:ser>
          <c:idx val="5"/>
          <c:order val="6"/>
          <c:tx>
            <c:v>50% Propylene 1.6mm</c:v>
          </c:tx>
          <c:spPr>
            <a:ln w="28575">
              <a:noFill/>
            </a:ln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9525">
                <a:noFill/>
              </a:ln>
            </c:spPr>
          </c:marker>
          <c:xVal>
            <c:numRef>
              <c:f>'Smoke Point Datasheet'!$AK$31:$AK$37</c:f>
              <c:numCache>
                <c:formatCode>General</c:formatCode>
                <c:ptCount val="7"/>
                <c:pt idx="0">
                  <c:v>458.71789666705467</c:v>
                </c:pt>
                <c:pt idx="1">
                  <c:v>349.07313112224642</c:v>
                </c:pt>
                <c:pt idx="2">
                  <c:v>257.32955178883554</c:v>
                </c:pt>
                <c:pt idx="3">
                  <c:v>346.83548284582184</c:v>
                </c:pt>
                <c:pt idx="4">
                  <c:v>463.193193219904</c:v>
                </c:pt>
                <c:pt idx="5">
                  <c:v>523.60969668336975</c:v>
                </c:pt>
                <c:pt idx="6">
                  <c:v>230.47777247173968</c:v>
                </c:pt>
              </c:numCache>
            </c:numRef>
          </c:xVal>
          <c:yVal>
            <c:numRef>
              <c:f>'Smoke Point Datasheet'!$AN$31:$AN$37</c:f>
              <c:numCache>
                <c:formatCode>General</c:formatCode>
                <c:ptCount val="7"/>
                <c:pt idx="0">
                  <c:v>26.07679112101124</c:v>
                </c:pt>
                <c:pt idx="1">
                  <c:v>20.310782794967285</c:v>
                </c:pt>
                <c:pt idx="2">
                  <c:v>16.570195270277683</c:v>
                </c:pt>
                <c:pt idx="3">
                  <c:v>20.880245728332056</c:v>
                </c:pt>
                <c:pt idx="4">
                  <c:v>26.483311323802742</c:v>
                </c:pt>
                <c:pt idx="5">
                  <c:v>30.937030130458933</c:v>
                </c:pt>
                <c:pt idx="6">
                  <c:v>13.824023428167832</c:v>
                </c:pt>
              </c:numCache>
            </c:numRef>
          </c:yVal>
          <c:smooth val="0"/>
        </c:ser>
        <c:ser>
          <c:idx val="6"/>
          <c:order val="7"/>
          <c:tx>
            <c:v>Propylene 1.6mm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Datasheet'!$AK$38:$AK$47</c:f>
              <c:numCache>
                <c:formatCode>General</c:formatCode>
                <c:ptCount val="10"/>
                <c:pt idx="0">
                  <c:v>251.58949846040181</c:v>
                </c:pt>
                <c:pt idx="1">
                  <c:v>182.70189769148229</c:v>
                </c:pt>
                <c:pt idx="2">
                  <c:v>137.77520153783908</c:v>
                </c:pt>
                <c:pt idx="3">
                  <c:v>110.81918384565316</c:v>
                </c:pt>
                <c:pt idx="4">
                  <c:v>143.76542769165818</c:v>
                </c:pt>
                <c:pt idx="5">
                  <c:v>98.838731538014983</c:v>
                </c:pt>
                <c:pt idx="6">
                  <c:v>179.70678461457268</c:v>
                </c:pt>
                <c:pt idx="7">
                  <c:v>293.52108153713544</c:v>
                </c:pt>
                <c:pt idx="8">
                  <c:v>242.6041592296732</c:v>
                </c:pt>
                <c:pt idx="9">
                  <c:v>191.68723692221087</c:v>
                </c:pt>
              </c:numCache>
            </c:numRef>
          </c:xVal>
          <c:yVal>
            <c:numRef>
              <c:f>'Smoke Point Datasheet'!$AN$38:$AN$47</c:f>
              <c:numCache>
                <c:formatCode>General</c:formatCode>
                <c:ptCount val="10"/>
                <c:pt idx="0">
                  <c:v>16.080257281742821</c:v>
                </c:pt>
                <c:pt idx="1">
                  <c:v>12.269747619180446</c:v>
                </c:pt>
                <c:pt idx="2">
                  <c:v>9.8705378316411689</c:v>
                </c:pt>
                <c:pt idx="3">
                  <c:v>8.7414979316226926</c:v>
                </c:pt>
                <c:pt idx="4">
                  <c:v>9.6780276900817999</c:v>
                </c:pt>
                <c:pt idx="5">
                  <c:v>8.3844649208871314</c:v>
                </c:pt>
                <c:pt idx="6">
                  <c:v>10.971590459276468</c:v>
                </c:pt>
                <c:pt idx="7">
                  <c:v>16.577029125786702</c:v>
                </c:pt>
                <c:pt idx="8">
                  <c:v>14.42109117712892</c:v>
                </c:pt>
                <c:pt idx="9">
                  <c:v>12.121424031893957</c:v>
                </c:pt>
              </c:numCache>
            </c:numRef>
          </c:yVal>
          <c:smooth val="0"/>
        </c:ser>
        <c:ser>
          <c:idx val="7"/>
          <c:order val="8"/>
          <c:tx>
            <c:v>Propylene 0.76mm</c:v>
          </c:tx>
          <c:spPr>
            <a:ln w="28575">
              <a:noFill/>
            </a:ln>
          </c:spPr>
          <c:marker>
            <c:symbol val="diamond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Datasheet'!$AK$48:$AK$55</c:f>
              <c:numCache>
                <c:formatCode>General</c:formatCode>
                <c:ptCount val="8"/>
                <c:pt idx="0">
                  <c:v>528.33794676684374</c:v>
                </c:pt>
                <c:pt idx="1">
                  <c:v>433.99188484419318</c:v>
                </c:pt>
                <c:pt idx="2">
                  <c:v>402.54319753664294</c:v>
                </c:pt>
                <c:pt idx="3">
                  <c:v>389.96372261362291</c:v>
                </c:pt>
                <c:pt idx="4">
                  <c:v>276.74844830644207</c:v>
                </c:pt>
                <c:pt idx="5">
                  <c:v>698.16085822761499</c:v>
                </c:pt>
                <c:pt idx="6">
                  <c:v>503.17899692080363</c:v>
                </c:pt>
                <c:pt idx="7">
                  <c:v>257.87923592191186</c:v>
                </c:pt>
              </c:numCache>
            </c:numRef>
          </c:xVal>
          <c:yVal>
            <c:numRef>
              <c:f>'Smoke Point Datasheet'!$AN$48:$AN$55</c:f>
              <c:numCache>
                <c:formatCode>General</c:formatCode>
                <c:ptCount val="8"/>
                <c:pt idx="0">
                  <c:v>34.954032186679335</c:v>
                </c:pt>
                <c:pt idx="1">
                  <c:v>29.915691632846872</c:v>
                </c:pt>
                <c:pt idx="2">
                  <c:v>28.433826764072602</c:v>
                </c:pt>
                <c:pt idx="3">
                  <c:v>28.775134907910282</c:v>
                </c:pt>
                <c:pt idx="4">
                  <c:v>20.927520774795966</c:v>
                </c:pt>
                <c:pt idx="5">
                  <c:v>41.753881358830114</c:v>
                </c:pt>
                <c:pt idx="6">
                  <c:v>34.509929851339983</c:v>
                </c:pt>
                <c:pt idx="7">
                  <c:v>18.653518630162498</c:v>
                </c:pt>
              </c:numCache>
            </c:numRef>
          </c:yVal>
          <c:smooth val="0"/>
        </c:ser>
        <c:ser>
          <c:idx val="8"/>
          <c:order val="9"/>
          <c:tx>
            <c:v>Propylene 0.41mm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777777"/>
              </a:solidFill>
              <a:ln w="9525">
                <a:noFill/>
              </a:ln>
            </c:spPr>
          </c:marker>
          <c:xVal>
            <c:numRef>
              <c:f>'Smoke Point Datasheet'!$AK$56:$AK$59</c:f>
              <c:numCache>
                <c:formatCode>General</c:formatCode>
                <c:ptCount val="4"/>
                <c:pt idx="0">
                  <c:v>1603.883052685062</c:v>
                </c:pt>
                <c:pt idx="1">
                  <c:v>1332.6381246574408</c:v>
                </c:pt>
                <c:pt idx="2">
                  <c:v>1710.022372348044</c:v>
                </c:pt>
                <c:pt idx="3">
                  <c:v>1084.9797121104832</c:v>
                </c:pt>
              </c:numCache>
            </c:numRef>
          </c:xVal>
          <c:yVal>
            <c:numRef>
              <c:f>'Smoke Point Datasheet'!$AN$56:$AN$59</c:f>
              <c:numCache>
                <c:formatCode>General</c:formatCode>
                <c:ptCount val="4"/>
                <c:pt idx="0">
                  <c:v>131.11133079328471</c:v>
                </c:pt>
                <c:pt idx="1">
                  <c:v>115.55174967115498</c:v>
                </c:pt>
                <c:pt idx="2">
                  <c:v>145.63463921900387</c:v>
                </c:pt>
                <c:pt idx="3">
                  <c:v>92.768077313750737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75232"/>
        <c:axId val="128977152"/>
      </c:scatterChart>
      <c:valAx>
        <c:axId val="128975232"/>
        <c:scaling>
          <c:logBase val="10"/>
          <c:orientation val="minMax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Re/Z</a:t>
                </a:r>
                <a:r>
                  <a:rPr lang="en-US" sz="14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st</a:t>
                </a:r>
              </a:p>
            </c:rich>
          </c:tx>
          <c:layout>
            <c:manualLayout>
              <c:xMode val="edge"/>
              <c:yMode val="edge"/>
              <c:x val="0.4239733629300777"/>
              <c:y val="0.941176470588235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977152"/>
        <c:crossesAt val="1"/>
        <c:crossBetween val="midCat"/>
      </c:valAx>
      <c:valAx>
        <c:axId val="128977152"/>
        <c:scaling>
          <c:logBase val="10"/>
          <c:orientation val="minMax"/>
          <c:min val="1"/>
        </c:scaling>
        <c:delete val="0"/>
        <c:axPos val="l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L</a:t>
                </a:r>
                <a:r>
                  <a:rPr lang="en-US" sz="14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SP</a:t>
                </a: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/ d</a:t>
                </a:r>
                <a:r>
                  <a:rPr lang="en-US" sz="14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b</a:t>
                </a:r>
              </a:p>
            </c:rich>
          </c:tx>
          <c:layout>
            <c:manualLayout>
              <c:xMode val="edge"/>
              <c:yMode val="edge"/>
              <c:x val="9.9889012208657056E-3"/>
              <c:y val="0.405228758169934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975232"/>
        <c:crossesAt val="10"/>
        <c:crossBetween val="midCat"/>
      </c:valAx>
      <c:spPr>
        <a:solidFill>
          <a:srgbClr val="FFFFFF"/>
        </a:solidFill>
        <a:ln w="31750">
          <a:solidFill>
            <a:schemeClr val="tx1"/>
          </a:solidFill>
          <a:prstDash val="solid"/>
        </a:ln>
      </c:spPr>
    </c:plotArea>
    <c:legend>
      <c:legendPos val="r"/>
      <c:legendEntry>
        <c:idx val="6"/>
        <c:txPr>
          <a:bodyPr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0.55937846836847949"/>
          <c:y val="0.63398692810457513"/>
          <c:w val="0.7769145394006659"/>
          <c:h val="0.89542483660130712"/>
        </c:manualLayout>
      </c:layout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431742508324085"/>
          <c:y val="5.8823529411764705E-2"/>
          <c:w val="0.54716981132075471"/>
          <c:h val="0.78758169934640521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Datasheet'!$AL$5:$AL$9</c:f>
              <c:numCache>
                <c:formatCode>General</c:formatCode>
                <c:ptCount val="5"/>
                <c:pt idx="0">
                  <c:v>2199.9720189521954</c:v>
                </c:pt>
                <c:pt idx="1">
                  <c:v>1597.8744137652789</c:v>
                </c:pt>
                <c:pt idx="2">
                  <c:v>1628.7512140312747</c:v>
                </c:pt>
                <c:pt idx="3">
                  <c:v>1613.3128138982768</c:v>
                </c:pt>
                <c:pt idx="4">
                  <c:v>1080.6880093098505</c:v>
                </c:pt>
              </c:numCache>
            </c:numRef>
          </c:xVal>
          <c:yVal>
            <c:numRef>
              <c:f>'Smoke Point Datasheet'!$AN$5:$AN$9</c:f>
              <c:numCache>
                <c:formatCode>General</c:formatCode>
                <c:ptCount val="5"/>
                <c:pt idx="0">
                  <c:v>47.090862761204114</c:v>
                </c:pt>
                <c:pt idx="1">
                  <c:v>33.739002758697858</c:v>
                </c:pt>
                <c:pt idx="2">
                  <c:v>34.887549855687645</c:v>
                </c:pt>
                <c:pt idx="3">
                  <c:v>35.935816755064913</c:v>
                </c:pt>
                <c:pt idx="4">
                  <c:v>23.114942111542351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Datasheet'!$AL$10</c:f>
              <c:numCache>
                <c:formatCode>General</c:formatCode>
                <c:ptCount val="1"/>
                <c:pt idx="0">
                  <c:v>5430.4572467819999</c:v>
                </c:pt>
              </c:numCache>
            </c:numRef>
          </c:xVal>
          <c:yVal>
            <c:numRef>
              <c:f>'Smoke Point Datasheet'!$AN$10</c:f>
              <c:numCache>
                <c:formatCode>General</c:formatCode>
                <c:ptCount val="1"/>
                <c:pt idx="0">
                  <c:v>138.08498148330506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Datasheet'!$AL$11:$AL$13</c:f>
              <c:numCache>
                <c:formatCode>General</c:formatCode>
                <c:ptCount val="3"/>
                <c:pt idx="0">
                  <c:v>2122.6377131550771</c:v>
                </c:pt>
                <c:pt idx="1">
                  <c:v>1768.8647609625646</c:v>
                </c:pt>
                <c:pt idx="2">
                  <c:v>1261.2774817298284</c:v>
                </c:pt>
              </c:numCache>
            </c:numRef>
          </c:xVal>
          <c:yVal>
            <c:numRef>
              <c:f>'Smoke Point Datasheet'!$AN$11:$AN$13</c:f>
              <c:numCache>
                <c:formatCode>General</c:formatCode>
                <c:ptCount val="3"/>
                <c:pt idx="0">
                  <c:v>44.609153817558713</c:v>
                </c:pt>
                <c:pt idx="1">
                  <c:v>38.194885219476241</c:v>
                </c:pt>
                <c:pt idx="2">
                  <c:v>28.448060460348461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Datasheet'!$AL$14:$AL$16</c:f>
              <c:numCache>
                <c:formatCode>General</c:formatCode>
                <c:ptCount val="3"/>
                <c:pt idx="0">
                  <c:v>5652.6765187281953</c:v>
                </c:pt>
                <c:pt idx="1">
                  <c:v>3876.121041413619</c:v>
                </c:pt>
                <c:pt idx="2">
                  <c:v>3327.003893880023</c:v>
                </c:pt>
              </c:numCache>
            </c:numRef>
          </c:xVal>
          <c:yVal>
            <c:numRef>
              <c:f>'Smoke Point Datasheet'!$AN$14:$AN$16</c:f>
              <c:numCache>
                <c:formatCode>General</c:formatCode>
                <c:ptCount val="3"/>
                <c:pt idx="0">
                  <c:v>138.38647509626489</c:v>
                </c:pt>
                <c:pt idx="1">
                  <c:v>99.192305411488462</c:v>
                </c:pt>
                <c:pt idx="2">
                  <c:v>84.419118376457348</c:v>
                </c:pt>
              </c:numCache>
            </c:numRef>
          </c:yVal>
          <c:smooth val="0"/>
        </c:ser>
        <c:ser>
          <c:idx val="3"/>
          <c:order val="4"/>
          <c:tx>
            <c:v>75% Propylene 1.6mm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Datasheet'!$AL$17:$AL$28</c:f>
              <c:numCache>
                <c:formatCode>General</c:formatCode>
                <c:ptCount val="12"/>
                <c:pt idx="0">
                  <c:v>1051.7394893503351</c:v>
                </c:pt>
                <c:pt idx="1">
                  <c:v>1037.6221807684515</c:v>
                </c:pt>
                <c:pt idx="2">
                  <c:v>825.86255204019585</c:v>
                </c:pt>
                <c:pt idx="3">
                  <c:v>741.15870054889388</c:v>
                </c:pt>
                <c:pt idx="4">
                  <c:v>557.63368898440581</c:v>
                </c:pt>
                <c:pt idx="5">
                  <c:v>352.93271454709219</c:v>
                </c:pt>
                <c:pt idx="6">
                  <c:v>345.87406025615047</c:v>
                </c:pt>
                <c:pt idx="7">
                  <c:v>508.22310894781282</c:v>
                </c:pt>
                <c:pt idx="8">
                  <c:v>367.05002312897591</c:v>
                </c:pt>
                <c:pt idx="9">
                  <c:v>430.57791174745262</c:v>
                </c:pt>
                <c:pt idx="10">
                  <c:v>2208.6529276357037</c:v>
                </c:pt>
                <c:pt idx="11">
                  <c:v>1037.6221807684512</c:v>
                </c:pt>
              </c:numCache>
            </c:numRef>
          </c:xVal>
          <c:yVal>
            <c:numRef>
              <c:f>'Smoke Point Datasheet'!$AN$17:$AN$26</c:f>
              <c:numCache>
                <c:formatCode>General</c:formatCode>
                <c:ptCount val="10"/>
                <c:pt idx="0">
                  <c:v>23.545647272913524</c:v>
                </c:pt>
                <c:pt idx="1">
                  <c:v>22.397100175923732</c:v>
                </c:pt>
                <c:pt idx="2">
                  <c:v>19.812869207696714</c:v>
                </c:pt>
                <c:pt idx="3">
                  <c:v>16.654364690974802</c:v>
                </c:pt>
                <c:pt idx="4">
                  <c:v>13.208723400005448</c:v>
                </c:pt>
                <c:pt idx="5">
                  <c:v>9.045240173417481</c:v>
                </c:pt>
                <c:pt idx="6">
                  <c:v>8.8479819985825667</c:v>
                </c:pt>
                <c:pt idx="7">
                  <c:v>12.725941958703061</c:v>
                </c:pt>
                <c:pt idx="8">
                  <c:v>9.7542356013381166</c:v>
                </c:pt>
                <c:pt idx="9">
                  <c:v>11.174689615227564</c:v>
                </c:pt>
              </c:numCache>
            </c:numRef>
          </c:yVal>
          <c:smooth val="0"/>
        </c:ser>
        <c:ser>
          <c:idx val="4"/>
          <c:order val="5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Datasheet'!$AL$27:$AL$30</c:f>
              <c:numCache>
                <c:formatCode>General</c:formatCode>
                <c:ptCount val="4"/>
                <c:pt idx="0">
                  <c:v>2208.6529276357037</c:v>
                </c:pt>
                <c:pt idx="1">
                  <c:v>1037.6221807684512</c:v>
                </c:pt>
                <c:pt idx="2">
                  <c:v>1007.9758327464956</c:v>
                </c:pt>
                <c:pt idx="3">
                  <c:v>2312.415145712549</c:v>
                </c:pt>
              </c:numCache>
            </c:numRef>
          </c:xVal>
          <c:yVal>
            <c:numRef>
              <c:f>'Smoke Point Datasheet'!$AN$27:$AN$30</c:f>
              <c:numCache>
                <c:formatCode>General</c:formatCode>
                <c:ptCount val="4"/>
                <c:pt idx="0">
                  <c:v>51.857808176796944</c:v>
                </c:pt>
                <c:pt idx="1">
                  <c:v>28.836164364479998</c:v>
                </c:pt>
                <c:pt idx="2">
                  <c:v>26.449801621145724</c:v>
                </c:pt>
                <c:pt idx="3">
                  <c:v>57.711493691874921</c:v>
                </c:pt>
              </c:numCache>
            </c:numRef>
          </c:yVal>
          <c:smooth val="0"/>
        </c:ser>
        <c:ser>
          <c:idx val="5"/>
          <c:order val="6"/>
          <c:tx>
            <c:v>50% Propylene 1.6mm</c:v>
          </c:tx>
          <c:spPr>
            <a:ln w="28575">
              <a:noFill/>
            </a:ln>
          </c:spPr>
          <c:marker>
            <c:symbol val="x"/>
            <c:size val="8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Datasheet'!$AL$31:$AL$37</c:f>
              <c:numCache>
                <c:formatCode>General</c:formatCode>
                <c:ptCount val="7"/>
                <c:pt idx="0">
                  <c:v>1198.9129026932126</c:v>
                </c:pt>
                <c:pt idx="1">
                  <c:v>912.3434771714202</c:v>
                </c:pt>
                <c:pt idx="2">
                  <c:v>672.56089663277783</c:v>
                </c:pt>
                <c:pt idx="3">
                  <c:v>906.49512154852664</c:v>
                </c:pt>
                <c:pt idx="4">
                  <c:v>1210.6096139389999</c:v>
                </c:pt>
                <c:pt idx="5">
                  <c:v>1368.5152157571304</c:v>
                </c:pt>
                <c:pt idx="6">
                  <c:v>602.38062915805324</c:v>
                </c:pt>
              </c:numCache>
            </c:numRef>
          </c:xVal>
          <c:yVal>
            <c:numRef>
              <c:f>'Smoke Point Datasheet'!$AN$31:$AN$37</c:f>
              <c:numCache>
                <c:formatCode>General</c:formatCode>
                <c:ptCount val="7"/>
                <c:pt idx="0">
                  <c:v>26.07679112101124</c:v>
                </c:pt>
                <c:pt idx="1">
                  <c:v>20.310782794967285</c:v>
                </c:pt>
                <c:pt idx="2">
                  <c:v>16.570195270277683</c:v>
                </c:pt>
                <c:pt idx="3">
                  <c:v>20.880245728332056</c:v>
                </c:pt>
                <c:pt idx="4">
                  <c:v>26.483311323802742</c:v>
                </c:pt>
                <c:pt idx="5">
                  <c:v>30.937030130458933</c:v>
                </c:pt>
                <c:pt idx="6">
                  <c:v>13.824023428167832</c:v>
                </c:pt>
              </c:numCache>
            </c:numRef>
          </c:yVal>
          <c:smooth val="0"/>
        </c:ser>
        <c:ser>
          <c:idx val="6"/>
          <c:order val="7"/>
          <c:tx>
            <c:v>Propylene 1.6mm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Datasheet'!$AL$38:$AL$47</c:f>
              <c:numCache>
                <c:formatCode>General</c:formatCode>
                <c:ptCount val="10"/>
                <c:pt idx="0">
                  <c:v>664.57098369912524</c:v>
                </c:pt>
                <c:pt idx="1">
                  <c:v>482.60511911484099</c:v>
                </c:pt>
                <c:pt idx="2">
                  <c:v>363.93172916856861</c:v>
                </c:pt>
                <c:pt idx="3">
                  <c:v>292.7276952008051</c:v>
                </c:pt>
                <c:pt idx="4">
                  <c:v>379.75484782807155</c:v>
                </c:pt>
                <c:pt idx="5">
                  <c:v>261.08145788179911</c:v>
                </c:pt>
                <c:pt idx="6">
                  <c:v>474.69355978508935</c:v>
                </c:pt>
                <c:pt idx="7">
                  <c:v>775.33281431564615</c:v>
                </c:pt>
                <c:pt idx="8">
                  <c:v>640.83630570987089</c:v>
                </c:pt>
                <c:pt idx="9">
                  <c:v>506.33979710409534</c:v>
                </c:pt>
              </c:numCache>
            </c:numRef>
          </c:xVal>
          <c:yVal>
            <c:numRef>
              <c:f>'Smoke Point Datasheet'!$AN$38:$AN$47</c:f>
              <c:numCache>
                <c:formatCode>General</c:formatCode>
                <c:ptCount val="10"/>
                <c:pt idx="0">
                  <c:v>16.080257281742821</c:v>
                </c:pt>
                <c:pt idx="1">
                  <c:v>12.269747619180446</c:v>
                </c:pt>
                <c:pt idx="2">
                  <c:v>9.8705378316411689</c:v>
                </c:pt>
                <c:pt idx="3">
                  <c:v>8.7414979316226926</c:v>
                </c:pt>
                <c:pt idx="4">
                  <c:v>9.6780276900817999</c:v>
                </c:pt>
                <c:pt idx="5">
                  <c:v>8.3844649208871314</c:v>
                </c:pt>
                <c:pt idx="6">
                  <c:v>10.971590459276468</c:v>
                </c:pt>
                <c:pt idx="7">
                  <c:v>16.577029125786702</c:v>
                </c:pt>
                <c:pt idx="8">
                  <c:v>14.42109117712892</c:v>
                </c:pt>
                <c:pt idx="9">
                  <c:v>12.121424031893957</c:v>
                </c:pt>
              </c:numCache>
            </c:numRef>
          </c:yVal>
          <c:smooth val="0"/>
        </c:ser>
        <c:ser>
          <c:idx val="7"/>
          <c:order val="8"/>
          <c:tx>
            <c:v>Propylene 0.76mm</c:v>
          </c:tx>
          <c:spPr>
            <a:ln w="28575">
              <a:noFill/>
            </a:ln>
          </c:spPr>
          <c:marker>
            <c:symbol val="diamond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Datasheet'!$AL$48:$AL$55</c:f>
              <c:numCache>
                <c:formatCode>General</c:formatCode>
                <c:ptCount val="8"/>
                <c:pt idx="0">
                  <c:v>1395.599065768163</c:v>
                </c:pt>
                <c:pt idx="1">
                  <c:v>1146.384946880991</c:v>
                </c:pt>
                <c:pt idx="2">
                  <c:v>1063.3135739186005</c:v>
                </c:pt>
                <c:pt idx="3">
                  <c:v>1030.0850247336443</c:v>
                </c:pt>
                <c:pt idx="4">
                  <c:v>731.02808206903796</c:v>
                </c:pt>
                <c:pt idx="5">
                  <c:v>1844.1844797650722</c:v>
                </c:pt>
                <c:pt idx="6">
                  <c:v>1329.1419673982502</c:v>
                </c:pt>
                <c:pt idx="7">
                  <c:v>681.1852582916033</c:v>
                </c:pt>
              </c:numCache>
            </c:numRef>
          </c:xVal>
          <c:yVal>
            <c:numRef>
              <c:f>'Smoke Point Datasheet'!$AN$48:$AN$55</c:f>
              <c:numCache>
                <c:formatCode>General</c:formatCode>
                <c:ptCount val="8"/>
                <c:pt idx="0">
                  <c:v>34.954032186679335</c:v>
                </c:pt>
                <c:pt idx="1">
                  <c:v>29.915691632846872</c:v>
                </c:pt>
                <c:pt idx="2">
                  <c:v>28.433826764072602</c:v>
                </c:pt>
                <c:pt idx="3">
                  <c:v>28.775134907910282</c:v>
                </c:pt>
                <c:pt idx="4">
                  <c:v>20.927520774795966</c:v>
                </c:pt>
                <c:pt idx="5">
                  <c:v>41.753881358830114</c:v>
                </c:pt>
                <c:pt idx="6">
                  <c:v>34.509929851339983</c:v>
                </c:pt>
                <c:pt idx="7">
                  <c:v>18.653518630162498</c:v>
                </c:pt>
              </c:numCache>
            </c:numRef>
          </c:yVal>
          <c:smooth val="0"/>
        </c:ser>
        <c:ser>
          <c:idx val="8"/>
          <c:order val="9"/>
          <c:tx>
            <c:v>Propylene 0.41mm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777777"/>
              </a:solidFill>
              <a:ln w="9525">
                <a:noFill/>
              </a:ln>
            </c:spPr>
          </c:marker>
          <c:xVal>
            <c:numRef>
              <c:f>'Smoke Point Datasheet'!$AL$56:$AL$59</c:f>
              <c:numCache>
                <c:formatCode>General</c:formatCode>
                <c:ptCount val="4"/>
                <c:pt idx="0">
                  <c:v>4236.6400210819247</c:v>
                </c:pt>
                <c:pt idx="1">
                  <c:v>3520.1494292813045</c:v>
                </c:pt>
                <c:pt idx="2">
                  <c:v>4517.0059048299927</c:v>
                </c:pt>
                <c:pt idx="3">
                  <c:v>2865.9623672024782</c:v>
                </c:pt>
              </c:numCache>
            </c:numRef>
          </c:xVal>
          <c:yVal>
            <c:numRef>
              <c:f>'Smoke Point Datasheet'!$AN$56:$AN$59</c:f>
              <c:numCache>
                <c:formatCode>General</c:formatCode>
                <c:ptCount val="4"/>
                <c:pt idx="0">
                  <c:v>131.11133079328471</c:v>
                </c:pt>
                <c:pt idx="1">
                  <c:v>115.55174967115498</c:v>
                </c:pt>
                <c:pt idx="2">
                  <c:v>145.63463921900387</c:v>
                </c:pt>
                <c:pt idx="3">
                  <c:v>92.768077313750737</c:v>
                </c:pt>
              </c:numCache>
            </c:numRef>
          </c:yVal>
          <c:smooth val="0"/>
        </c:ser>
        <c:ser>
          <c:idx val="10"/>
          <c:order val="10"/>
          <c:spPr>
            <a:ln w="28575">
              <a:noFill/>
            </a:ln>
          </c:spPr>
          <c:marker>
            <c:symbol val="none"/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17187004232684008"/>
                  <c:y val="6.9287736091812061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8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'Smoke Point Datasheet'!$AL$5:$AL$59</c:f>
              <c:numCache>
                <c:formatCode>General</c:formatCode>
                <c:ptCount val="55"/>
                <c:pt idx="0">
                  <c:v>2199.9720189521954</c:v>
                </c:pt>
                <c:pt idx="1">
                  <c:v>1597.8744137652789</c:v>
                </c:pt>
                <c:pt idx="2">
                  <c:v>1628.7512140312747</c:v>
                </c:pt>
                <c:pt idx="3">
                  <c:v>1613.3128138982768</c:v>
                </c:pt>
                <c:pt idx="4">
                  <c:v>1080.6880093098505</c:v>
                </c:pt>
                <c:pt idx="5">
                  <c:v>5430.4572467819999</c:v>
                </c:pt>
                <c:pt idx="6">
                  <c:v>2122.6377131550771</c:v>
                </c:pt>
                <c:pt idx="7">
                  <c:v>1768.8647609625646</c:v>
                </c:pt>
                <c:pt idx="8">
                  <c:v>1261.2774817298284</c:v>
                </c:pt>
                <c:pt idx="9">
                  <c:v>5652.6765187281953</c:v>
                </c:pt>
                <c:pt idx="10">
                  <c:v>3876.121041413619</c:v>
                </c:pt>
                <c:pt idx="11">
                  <c:v>3327.003893880023</c:v>
                </c:pt>
                <c:pt idx="12">
                  <c:v>1051.7394893503351</c:v>
                </c:pt>
                <c:pt idx="13">
                  <c:v>1037.6221807684515</c:v>
                </c:pt>
                <c:pt idx="14">
                  <c:v>825.86255204019585</c:v>
                </c:pt>
                <c:pt idx="15">
                  <c:v>741.15870054889388</c:v>
                </c:pt>
                <c:pt idx="16">
                  <c:v>557.63368898440581</c:v>
                </c:pt>
                <c:pt idx="17">
                  <c:v>352.93271454709219</c:v>
                </c:pt>
                <c:pt idx="18">
                  <c:v>345.87406025615047</c:v>
                </c:pt>
                <c:pt idx="19">
                  <c:v>508.22310894781282</c:v>
                </c:pt>
                <c:pt idx="20">
                  <c:v>367.05002312897591</c:v>
                </c:pt>
                <c:pt idx="21">
                  <c:v>430.57791174745262</c:v>
                </c:pt>
                <c:pt idx="22">
                  <c:v>2208.6529276357037</c:v>
                </c:pt>
                <c:pt idx="23">
                  <c:v>1037.6221807684512</c:v>
                </c:pt>
                <c:pt idx="24">
                  <c:v>1007.9758327464956</c:v>
                </c:pt>
                <c:pt idx="25">
                  <c:v>2312.415145712549</c:v>
                </c:pt>
                <c:pt idx="26">
                  <c:v>1198.9129026932126</c:v>
                </c:pt>
                <c:pt idx="27">
                  <c:v>912.3434771714202</c:v>
                </c:pt>
                <c:pt idx="28">
                  <c:v>672.56089663277783</c:v>
                </c:pt>
                <c:pt idx="29">
                  <c:v>906.49512154852664</c:v>
                </c:pt>
                <c:pt idx="30">
                  <c:v>1210.6096139389999</c:v>
                </c:pt>
                <c:pt idx="31">
                  <c:v>1368.5152157571304</c:v>
                </c:pt>
                <c:pt idx="32">
                  <c:v>602.38062915805324</c:v>
                </c:pt>
                <c:pt idx="33">
                  <c:v>664.57098369912524</c:v>
                </c:pt>
                <c:pt idx="34">
                  <c:v>482.60511911484099</c:v>
                </c:pt>
                <c:pt idx="35">
                  <c:v>363.93172916856861</c:v>
                </c:pt>
                <c:pt idx="36">
                  <c:v>292.7276952008051</c:v>
                </c:pt>
                <c:pt idx="37">
                  <c:v>379.75484782807155</c:v>
                </c:pt>
                <c:pt idx="38">
                  <c:v>261.08145788179911</c:v>
                </c:pt>
                <c:pt idx="39">
                  <c:v>474.69355978508935</c:v>
                </c:pt>
                <c:pt idx="40">
                  <c:v>775.33281431564615</c:v>
                </c:pt>
                <c:pt idx="41">
                  <c:v>640.83630570987089</c:v>
                </c:pt>
                <c:pt idx="42">
                  <c:v>506.33979710409534</c:v>
                </c:pt>
                <c:pt idx="43">
                  <c:v>1395.599065768163</c:v>
                </c:pt>
                <c:pt idx="44">
                  <c:v>1146.384946880991</c:v>
                </c:pt>
                <c:pt idx="45">
                  <c:v>1063.3135739186005</c:v>
                </c:pt>
                <c:pt idx="46">
                  <c:v>1030.0850247336443</c:v>
                </c:pt>
                <c:pt idx="47">
                  <c:v>731.02808206903796</c:v>
                </c:pt>
                <c:pt idx="48">
                  <c:v>1844.1844797650722</c:v>
                </c:pt>
                <c:pt idx="49">
                  <c:v>1329.1419673982502</c:v>
                </c:pt>
                <c:pt idx="50">
                  <c:v>681.1852582916033</c:v>
                </c:pt>
                <c:pt idx="51">
                  <c:v>4236.6400210819247</c:v>
                </c:pt>
                <c:pt idx="52">
                  <c:v>3520.1494292813045</c:v>
                </c:pt>
                <c:pt idx="53">
                  <c:v>4517.0059048299927</c:v>
                </c:pt>
                <c:pt idx="54">
                  <c:v>2865.9623672024782</c:v>
                </c:pt>
              </c:numCache>
            </c:numRef>
          </c:xVal>
          <c:yVal>
            <c:numRef>
              <c:f>'Smoke Point Datasheet'!$AN$5:$AN$59</c:f>
              <c:numCache>
                <c:formatCode>General</c:formatCode>
                <c:ptCount val="55"/>
                <c:pt idx="0">
                  <c:v>47.090862761204114</c:v>
                </c:pt>
                <c:pt idx="1">
                  <c:v>33.739002758697858</c:v>
                </c:pt>
                <c:pt idx="2">
                  <c:v>34.887549855687645</c:v>
                </c:pt>
                <c:pt idx="3">
                  <c:v>35.935816755064913</c:v>
                </c:pt>
                <c:pt idx="4">
                  <c:v>23.114942111542351</c:v>
                </c:pt>
                <c:pt idx="5">
                  <c:v>138.08498148330506</c:v>
                </c:pt>
                <c:pt idx="6">
                  <c:v>44.609153817558713</c:v>
                </c:pt>
                <c:pt idx="7">
                  <c:v>38.194885219476241</c:v>
                </c:pt>
                <c:pt idx="8">
                  <c:v>28.448060460348461</c:v>
                </c:pt>
                <c:pt idx="9">
                  <c:v>138.38647509626489</c:v>
                </c:pt>
                <c:pt idx="10">
                  <c:v>99.192305411488462</c:v>
                </c:pt>
                <c:pt idx="11">
                  <c:v>84.419118376457348</c:v>
                </c:pt>
                <c:pt idx="12">
                  <c:v>23.545647272913524</c:v>
                </c:pt>
                <c:pt idx="13">
                  <c:v>22.397100175923732</c:v>
                </c:pt>
                <c:pt idx="14">
                  <c:v>19.812869207696714</c:v>
                </c:pt>
                <c:pt idx="15">
                  <c:v>16.654364690974802</c:v>
                </c:pt>
                <c:pt idx="16">
                  <c:v>13.208723400005448</c:v>
                </c:pt>
                <c:pt idx="17">
                  <c:v>9.045240173417481</c:v>
                </c:pt>
                <c:pt idx="18">
                  <c:v>8.8479819985825667</c:v>
                </c:pt>
                <c:pt idx="19">
                  <c:v>12.725941958703061</c:v>
                </c:pt>
                <c:pt idx="20">
                  <c:v>9.7542356013381166</c:v>
                </c:pt>
                <c:pt idx="21">
                  <c:v>11.174689615227564</c:v>
                </c:pt>
                <c:pt idx="22">
                  <c:v>51.857808176796944</c:v>
                </c:pt>
                <c:pt idx="23">
                  <c:v>28.836164364479998</c:v>
                </c:pt>
                <c:pt idx="24">
                  <c:v>26.449801621145724</c:v>
                </c:pt>
                <c:pt idx="25">
                  <c:v>57.711493691874921</c:v>
                </c:pt>
                <c:pt idx="26">
                  <c:v>26.07679112101124</c:v>
                </c:pt>
                <c:pt idx="27">
                  <c:v>20.310782794967285</c:v>
                </c:pt>
                <c:pt idx="28">
                  <c:v>16.570195270277683</c:v>
                </c:pt>
                <c:pt idx="29">
                  <c:v>20.880245728332056</c:v>
                </c:pt>
                <c:pt idx="30">
                  <c:v>26.483311323802742</c:v>
                </c:pt>
                <c:pt idx="31">
                  <c:v>30.937030130458933</c:v>
                </c:pt>
                <c:pt idx="32">
                  <c:v>13.824023428167832</c:v>
                </c:pt>
                <c:pt idx="33">
                  <c:v>16.080257281742821</c:v>
                </c:pt>
                <c:pt idx="34">
                  <c:v>12.269747619180446</c:v>
                </c:pt>
                <c:pt idx="35">
                  <c:v>9.8705378316411689</c:v>
                </c:pt>
                <c:pt idx="36">
                  <c:v>8.7414979316226926</c:v>
                </c:pt>
                <c:pt idx="37">
                  <c:v>9.6780276900817999</c:v>
                </c:pt>
                <c:pt idx="38">
                  <c:v>8.3844649208871314</c:v>
                </c:pt>
                <c:pt idx="39">
                  <c:v>10.971590459276468</c:v>
                </c:pt>
                <c:pt idx="40">
                  <c:v>16.577029125786702</c:v>
                </c:pt>
                <c:pt idx="41">
                  <c:v>14.42109117712892</c:v>
                </c:pt>
                <c:pt idx="42">
                  <c:v>12.121424031893957</c:v>
                </c:pt>
                <c:pt idx="43">
                  <c:v>34.954032186679335</c:v>
                </c:pt>
                <c:pt idx="44">
                  <c:v>29.915691632846872</c:v>
                </c:pt>
                <c:pt idx="45">
                  <c:v>28.433826764072602</c:v>
                </c:pt>
                <c:pt idx="46">
                  <c:v>28.775134907910282</c:v>
                </c:pt>
                <c:pt idx="47">
                  <c:v>20.927520774795966</c:v>
                </c:pt>
                <c:pt idx="48">
                  <c:v>41.753881358830114</c:v>
                </c:pt>
                <c:pt idx="49">
                  <c:v>34.509929851339983</c:v>
                </c:pt>
                <c:pt idx="50">
                  <c:v>18.653518630162498</c:v>
                </c:pt>
                <c:pt idx="51">
                  <c:v>131.11133079328471</c:v>
                </c:pt>
                <c:pt idx="52">
                  <c:v>115.55174967115498</c:v>
                </c:pt>
                <c:pt idx="53">
                  <c:v>145.63463921900387</c:v>
                </c:pt>
                <c:pt idx="54">
                  <c:v>92.768077313750737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32256"/>
        <c:axId val="128834176"/>
      </c:scatterChart>
      <c:valAx>
        <c:axId val="12883225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4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(Amb. Air Visc.) Re/Z</a:t>
                </a:r>
                <a:r>
                  <a:rPr lang="en-US" sz="14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st</a:t>
                </a:r>
              </a:p>
            </c:rich>
          </c:tx>
          <c:layout>
            <c:manualLayout>
              <c:xMode val="edge"/>
              <c:yMode val="edge"/>
              <c:x val="0.27857935627081021"/>
              <c:y val="0.897058823529411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834176"/>
        <c:crossesAt val="0"/>
        <c:crossBetween val="midCat"/>
      </c:valAx>
      <c:valAx>
        <c:axId val="12883417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Smoke Point / Burner Diameter</a:t>
                </a:r>
              </a:p>
            </c:rich>
          </c:tx>
          <c:layout>
            <c:manualLayout>
              <c:xMode val="edge"/>
              <c:yMode val="edge"/>
              <c:x val="2.9966703662597113E-2"/>
              <c:y val="0.200980392156862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832256"/>
        <c:crossesAt val="0"/>
        <c:crossBetween val="midCat"/>
      </c:valAx>
      <c:spPr>
        <a:solidFill>
          <a:srgbClr val="FFFFFF"/>
        </a:solidFill>
        <a:ln w="31750">
          <a:solidFill>
            <a:schemeClr val="tx1"/>
          </a:solidFill>
          <a:prstDash val="solid"/>
        </a:ln>
      </c:spPr>
    </c:plotArea>
    <c:legend>
      <c:legendPos val="r"/>
      <c:legendEntry>
        <c:idx val="6"/>
        <c:txPr>
          <a:bodyPr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0.3607103218645949"/>
          <c:y val="0.56209150326797386"/>
          <c:w val="0.65926748057713647"/>
          <c:h val="0.82352941176470584"/>
        </c:manualLayout>
      </c:layout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32852386237514"/>
          <c:y val="8.6601307189542481E-2"/>
          <c:w val="0.53607103218645946"/>
          <c:h val="0.78758169934640521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Datasheet'!$AJ$5:$AJ$9</c:f>
              <c:numCache>
                <c:formatCode>General</c:formatCode>
                <c:ptCount val="5"/>
                <c:pt idx="0">
                  <c:v>257.55545354558637</c:v>
                </c:pt>
                <c:pt idx="1">
                  <c:v>187.06659257521537</c:v>
                </c:pt>
                <c:pt idx="2">
                  <c:v>190.68140595831133</c:v>
                </c:pt>
                <c:pt idx="3">
                  <c:v>188.87399926676335</c:v>
                </c:pt>
                <c:pt idx="4">
                  <c:v>126.51846840835823</c:v>
                </c:pt>
              </c:numCache>
            </c:numRef>
          </c:xVal>
          <c:yVal>
            <c:numRef>
              <c:f>'Smoke Point Datasheet'!$AN$5:$AN$9</c:f>
              <c:numCache>
                <c:formatCode>General</c:formatCode>
                <c:ptCount val="5"/>
                <c:pt idx="0">
                  <c:v>47.090862761204114</c:v>
                </c:pt>
                <c:pt idx="1">
                  <c:v>33.739002758697858</c:v>
                </c:pt>
                <c:pt idx="2">
                  <c:v>34.887549855687645</c:v>
                </c:pt>
                <c:pt idx="3">
                  <c:v>35.935816755064913</c:v>
                </c:pt>
                <c:pt idx="4">
                  <c:v>23.114942111542351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Datasheet'!$AJ$10</c:f>
              <c:numCache>
                <c:formatCode>General</c:formatCode>
                <c:ptCount val="1"/>
                <c:pt idx="0">
                  <c:v>635.75530375200026</c:v>
                </c:pt>
              </c:numCache>
            </c:numRef>
          </c:xVal>
          <c:yVal>
            <c:numRef>
              <c:f>'Smoke Point Datasheet'!$AN$10</c:f>
              <c:numCache>
                <c:formatCode>General</c:formatCode>
                <c:ptCount val="1"/>
                <c:pt idx="0">
                  <c:v>138.08498148330506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Datasheet'!$AJ$11:$AJ$13</c:f>
              <c:numCache>
                <c:formatCode>General</c:formatCode>
                <c:ptCount val="3"/>
                <c:pt idx="0">
                  <c:v>296.06919326118174</c:v>
                </c:pt>
                <c:pt idx="1">
                  <c:v>246.72432771765151</c:v>
                </c:pt>
                <c:pt idx="2">
                  <c:v>175.92517280736882</c:v>
                </c:pt>
              </c:numCache>
            </c:numRef>
          </c:xVal>
          <c:yVal>
            <c:numRef>
              <c:f>'Smoke Point Datasheet'!$AN$11:$AN$13</c:f>
              <c:numCache>
                <c:formatCode>General</c:formatCode>
                <c:ptCount val="3"/>
                <c:pt idx="0">
                  <c:v>44.609153817558713</c:v>
                </c:pt>
                <c:pt idx="1">
                  <c:v>38.194885219476241</c:v>
                </c:pt>
                <c:pt idx="2">
                  <c:v>28.448060460348461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Datasheet'!$AJ$14:$AJ$16</c:f>
              <c:numCache>
                <c:formatCode>General</c:formatCode>
                <c:ptCount val="3"/>
                <c:pt idx="0">
                  <c:v>788.44513422814703</c:v>
                </c:pt>
                <c:pt idx="1">
                  <c:v>540.64809204215794</c:v>
                </c:pt>
                <c:pt idx="2">
                  <c:v>464.05627900285225</c:v>
                </c:pt>
              </c:numCache>
            </c:numRef>
          </c:xVal>
          <c:yVal>
            <c:numRef>
              <c:f>'Smoke Point Datasheet'!$AN$14:$AN$16</c:f>
              <c:numCache>
                <c:formatCode>General</c:formatCode>
                <c:ptCount val="3"/>
                <c:pt idx="0">
                  <c:v>138.38647509626489</c:v>
                </c:pt>
                <c:pt idx="1">
                  <c:v>99.192305411488462</c:v>
                </c:pt>
                <c:pt idx="2">
                  <c:v>84.419118376457348</c:v>
                </c:pt>
              </c:numCache>
            </c:numRef>
          </c:yVal>
          <c:smooth val="0"/>
        </c:ser>
        <c:ser>
          <c:idx val="3"/>
          <c:order val="4"/>
          <c:tx>
            <c:v>75% Propylene 1.6mm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Datasheet'!$AJ$17:$AJ$28</c:f>
              <c:numCache>
                <c:formatCode>General</c:formatCode>
                <c:ptCount val="12"/>
                <c:pt idx="0">
                  <c:v>144.10544523717701</c:v>
                </c:pt>
                <c:pt idx="1">
                  <c:v>142.17114395882567</c:v>
                </c:pt>
                <c:pt idx="2">
                  <c:v>113.1566247835551</c:v>
                </c:pt>
                <c:pt idx="3">
                  <c:v>101.5508171134469</c:v>
                </c:pt>
                <c:pt idx="4">
                  <c:v>76.404900494879087</c:v>
                </c:pt>
                <c:pt idx="5">
                  <c:v>48.357531958784229</c:v>
                </c:pt>
                <c:pt idx="6">
                  <c:v>47.390381319608551</c:v>
                </c:pt>
                <c:pt idx="7">
                  <c:v>69.634846020649292</c:v>
                </c:pt>
                <c:pt idx="8">
                  <c:v>50.291833237135592</c:v>
                </c:pt>
                <c:pt idx="9">
                  <c:v>58.996188989716764</c:v>
                </c:pt>
                <c:pt idx="10">
                  <c:v>302.62143499807172</c:v>
                </c:pt>
                <c:pt idx="11">
                  <c:v>142.17114395882564</c:v>
                </c:pt>
              </c:numCache>
            </c:numRef>
          </c:xVal>
          <c:yVal>
            <c:numRef>
              <c:f>'Smoke Point Datasheet'!$AN$17:$AN$26</c:f>
              <c:numCache>
                <c:formatCode>General</c:formatCode>
                <c:ptCount val="10"/>
                <c:pt idx="0">
                  <c:v>23.545647272913524</c:v>
                </c:pt>
                <c:pt idx="1">
                  <c:v>22.397100175923732</c:v>
                </c:pt>
                <c:pt idx="2">
                  <c:v>19.812869207696714</c:v>
                </c:pt>
                <c:pt idx="3">
                  <c:v>16.654364690974802</c:v>
                </c:pt>
                <c:pt idx="4">
                  <c:v>13.208723400005448</c:v>
                </c:pt>
                <c:pt idx="5">
                  <c:v>9.045240173417481</c:v>
                </c:pt>
                <c:pt idx="6">
                  <c:v>8.8479819985825667</c:v>
                </c:pt>
                <c:pt idx="7">
                  <c:v>12.725941958703061</c:v>
                </c:pt>
                <c:pt idx="8">
                  <c:v>9.7542356013381166</c:v>
                </c:pt>
                <c:pt idx="9">
                  <c:v>11.174689615227564</c:v>
                </c:pt>
              </c:numCache>
            </c:numRef>
          </c:yVal>
          <c:smooth val="0"/>
        </c:ser>
        <c:ser>
          <c:idx val="4"/>
          <c:order val="5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Datasheet'!$AJ$27:$AJ$30</c:f>
              <c:numCache>
                <c:formatCode>General</c:formatCode>
                <c:ptCount val="4"/>
                <c:pt idx="0">
                  <c:v>302.62143499807172</c:v>
                </c:pt>
                <c:pt idx="1">
                  <c:v>142.17114395882564</c:v>
                </c:pt>
                <c:pt idx="2">
                  <c:v>138.10911127428778</c:v>
                </c:pt>
                <c:pt idx="3">
                  <c:v>316.83854939395434</c:v>
                </c:pt>
              </c:numCache>
            </c:numRef>
          </c:xVal>
          <c:yVal>
            <c:numRef>
              <c:f>'Smoke Point Datasheet'!$AN$27:$AN$30</c:f>
              <c:numCache>
                <c:formatCode>General</c:formatCode>
                <c:ptCount val="4"/>
                <c:pt idx="0">
                  <c:v>51.857808176796944</c:v>
                </c:pt>
                <c:pt idx="1">
                  <c:v>28.836164364479998</c:v>
                </c:pt>
                <c:pt idx="2">
                  <c:v>26.449801621145724</c:v>
                </c:pt>
                <c:pt idx="3">
                  <c:v>57.711493691874921</c:v>
                </c:pt>
              </c:numCache>
            </c:numRef>
          </c:yVal>
          <c:smooth val="0"/>
        </c:ser>
        <c:ser>
          <c:idx val="5"/>
          <c:order val="6"/>
          <c:tx>
            <c:v>50% Propylene 1.6mm</c:v>
          </c:tx>
          <c:spPr>
            <a:ln w="28575">
              <a:noFill/>
            </a:ln>
          </c:spPr>
          <c:marker>
            <c:symbol val="x"/>
            <c:size val="8"/>
            <c:spPr>
              <a:blipFill dpi="0" rotWithShape="0">
                <a:blip xmlns:r="http://schemas.openxmlformats.org/officeDocument/2006/relationships" r:embed="rId1"/>
                <a:srcRect/>
                <a:stretch>
                  <a:fillRect/>
                </a:stretch>
              </a:blipFill>
              <a:ln w="9525">
                <a:noFill/>
              </a:ln>
            </c:spPr>
          </c:marker>
          <c:xVal>
            <c:numRef>
              <c:f>'Smoke Point Datasheet'!$AJ$31:$AJ$37</c:f>
              <c:numCache>
                <c:formatCode>General</c:formatCode>
                <c:ptCount val="7"/>
                <c:pt idx="0">
                  <c:v>181.00980891454523</c:v>
                </c:pt>
                <c:pt idx="1">
                  <c:v>137.74404971058073</c:v>
                </c:pt>
                <c:pt idx="2">
                  <c:v>101.54208792767172</c:v>
                </c:pt>
                <c:pt idx="3">
                  <c:v>136.86107503294883</c:v>
                </c:pt>
                <c:pt idx="4">
                  <c:v>182.77575826980907</c:v>
                </c:pt>
                <c:pt idx="5">
                  <c:v>206.61607456587117</c:v>
                </c:pt>
                <c:pt idx="6">
                  <c:v>90.946391796088591</c:v>
                </c:pt>
              </c:numCache>
            </c:numRef>
          </c:xVal>
          <c:yVal>
            <c:numRef>
              <c:f>'Smoke Point Datasheet'!$AN$31:$AN$37</c:f>
              <c:numCache>
                <c:formatCode>General</c:formatCode>
                <c:ptCount val="7"/>
                <c:pt idx="0">
                  <c:v>26.07679112101124</c:v>
                </c:pt>
                <c:pt idx="1">
                  <c:v>20.310782794967285</c:v>
                </c:pt>
                <c:pt idx="2">
                  <c:v>16.570195270277683</c:v>
                </c:pt>
                <c:pt idx="3">
                  <c:v>20.880245728332056</c:v>
                </c:pt>
                <c:pt idx="4">
                  <c:v>26.483311323802742</c:v>
                </c:pt>
                <c:pt idx="5">
                  <c:v>30.937030130458933</c:v>
                </c:pt>
                <c:pt idx="6">
                  <c:v>13.824023428167832</c:v>
                </c:pt>
              </c:numCache>
            </c:numRef>
          </c:yVal>
          <c:smooth val="0"/>
        </c:ser>
        <c:ser>
          <c:idx val="6"/>
          <c:order val="7"/>
          <c:tx>
            <c:v>Propylene 1.6mm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Datasheet'!$AJ$38:$AJ$47</c:f>
              <c:numCache>
                <c:formatCode>General</c:formatCode>
                <c:ptCount val="10"/>
                <c:pt idx="0">
                  <c:v>92.718828352082539</c:v>
                </c:pt>
                <c:pt idx="1">
                  <c:v>67.331530112821852</c:v>
                </c:pt>
                <c:pt idx="2">
                  <c:v>50.774596478521389</c:v>
                </c:pt>
                <c:pt idx="3">
                  <c:v>40.84043629794111</c:v>
                </c:pt>
                <c:pt idx="4">
                  <c:v>52.982187629761448</c:v>
                </c:pt>
                <c:pt idx="5">
                  <c:v>36.425253995460992</c:v>
                </c:pt>
                <c:pt idx="6">
                  <c:v>66.227734537201798</c:v>
                </c:pt>
                <c:pt idx="7">
                  <c:v>108.17196641076296</c:v>
                </c:pt>
                <c:pt idx="8">
                  <c:v>89.407441625222447</c:v>
                </c:pt>
                <c:pt idx="9">
                  <c:v>70.642916839681916</c:v>
                </c:pt>
              </c:numCache>
            </c:numRef>
          </c:xVal>
          <c:yVal>
            <c:numRef>
              <c:f>'Smoke Point Datasheet'!$AN$38:$AN$47</c:f>
              <c:numCache>
                <c:formatCode>General</c:formatCode>
                <c:ptCount val="10"/>
                <c:pt idx="0">
                  <c:v>16.080257281742821</c:v>
                </c:pt>
                <c:pt idx="1">
                  <c:v>12.269747619180446</c:v>
                </c:pt>
                <c:pt idx="2">
                  <c:v>9.8705378316411689</c:v>
                </c:pt>
                <c:pt idx="3">
                  <c:v>8.7414979316226926</c:v>
                </c:pt>
                <c:pt idx="4">
                  <c:v>9.6780276900817999</c:v>
                </c:pt>
                <c:pt idx="5">
                  <c:v>8.3844649208871314</c:v>
                </c:pt>
                <c:pt idx="6">
                  <c:v>10.971590459276468</c:v>
                </c:pt>
                <c:pt idx="7">
                  <c:v>16.577029125786702</c:v>
                </c:pt>
                <c:pt idx="8">
                  <c:v>14.42109117712892</c:v>
                </c:pt>
                <c:pt idx="9">
                  <c:v>12.121424031893957</c:v>
                </c:pt>
              </c:numCache>
            </c:numRef>
          </c:yVal>
          <c:smooth val="0"/>
        </c:ser>
        <c:ser>
          <c:idx val="7"/>
          <c:order val="8"/>
          <c:tx>
            <c:v>Propylene 0.76mm</c:v>
          </c:tx>
          <c:spPr>
            <a:ln w="28575">
              <a:noFill/>
            </a:ln>
          </c:spPr>
          <c:marker>
            <c:symbol val="diamond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Datasheet'!$AJ$48:$AJ$55</c:f>
              <c:numCache>
                <c:formatCode>General</c:formatCode>
                <c:ptCount val="8"/>
                <c:pt idx="0">
                  <c:v>194.70953953937334</c:v>
                </c:pt>
                <c:pt idx="1">
                  <c:v>159.93997890734238</c:v>
                </c:pt>
                <c:pt idx="2">
                  <c:v>148.35012536333207</c:v>
                </c:pt>
                <c:pt idx="3">
                  <c:v>143.71418394572794</c:v>
                </c:pt>
                <c:pt idx="4">
                  <c:v>101.99071118729081</c:v>
                </c:pt>
                <c:pt idx="5">
                  <c:v>257.29474867702902</c:v>
                </c:pt>
                <c:pt idx="6">
                  <c:v>185.43765670416505</c:v>
                </c:pt>
                <c:pt idx="7">
                  <c:v>95.036799060884604</c:v>
                </c:pt>
              </c:numCache>
            </c:numRef>
          </c:xVal>
          <c:yVal>
            <c:numRef>
              <c:f>'Smoke Point Datasheet'!$AN$48:$AN$55</c:f>
              <c:numCache>
                <c:formatCode>General</c:formatCode>
                <c:ptCount val="8"/>
                <c:pt idx="0">
                  <c:v>34.954032186679335</c:v>
                </c:pt>
                <c:pt idx="1">
                  <c:v>29.915691632846872</c:v>
                </c:pt>
                <c:pt idx="2">
                  <c:v>28.433826764072602</c:v>
                </c:pt>
                <c:pt idx="3">
                  <c:v>28.775134907910282</c:v>
                </c:pt>
                <c:pt idx="4">
                  <c:v>20.927520774795966</c:v>
                </c:pt>
                <c:pt idx="5">
                  <c:v>41.753881358830114</c:v>
                </c:pt>
                <c:pt idx="6">
                  <c:v>34.509929851339983</c:v>
                </c:pt>
                <c:pt idx="7">
                  <c:v>18.653518630162498</c:v>
                </c:pt>
              </c:numCache>
            </c:numRef>
          </c:yVal>
          <c:smooth val="0"/>
        </c:ser>
        <c:ser>
          <c:idx val="8"/>
          <c:order val="9"/>
          <c:tx>
            <c:v>Propylene 0.41mm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777777"/>
              </a:solidFill>
              <a:ln w="9525">
                <a:noFill/>
              </a:ln>
            </c:spPr>
          </c:marker>
          <c:xVal>
            <c:numRef>
              <c:f>'Smoke Point Datasheet'!$AJ$56:$AJ$59</c:f>
              <c:numCache>
                <c:formatCode>General</c:formatCode>
                <c:ptCount val="4"/>
                <c:pt idx="0">
                  <c:v>591.08253074452637</c:v>
                </c:pt>
                <c:pt idx="1">
                  <c:v>491.12004392743722</c:v>
                </c:pt>
                <c:pt idx="2">
                  <c:v>630.19828645556117</c:v>
                </c:pt>
                <c:pt idx="3">
                  <c:v>399.84994726835606</c:v>
                </c:pt>
              </c:numCache>
            </c:numRef>
          </c:xVal>
          <c:yVal>
            <c:numRef>
              <c:f>'Smoke Point Datasheet'!$AN$56:$AN$59</c:f>
              <c:numCache>
                <c:formatCode>General</c:formatCode>
                <c:ptCount val="4"/>
                <c:pt idx="0">
                  <c:v>131.11133079328471</c:v>
                </c:pt>
                <c:pt idx="1">
                  <c:v>115.55174967115498</c:v>
                </c:pt>
                <c:pt idx="2">
                  <c:v>145.63463921900387</c:v>
                </c:pt>
                <c:pt idx="3">
                  <c:v>92.768077313750737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768640"/>
        <c:axId val="128849024"/>
      </c:scatterChart>
      <c:valAx>
        <c:axId val="128768640"/>
        <c:scaling>
          <c:logBase val="10"/>
          <c:orientation val="minMax"/>
          <c:min val="10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(Fuel) Re</a:t>
                </a:r>
              </a:p>
            </c:rich>
          </c:tx>
          <c:layout>
            <c:manualLayout>
              <c:xMode val="edge"/>
              <c:yMode val="edge"/>
              <c:x val="0.32630410654827968"/>
              <c:y val="0.9248366013071895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849024"/>
        <c:crosses val="autoZero"/>
        <c:crossBetween val="midCat"/>
      </c:valAx>
      <c:valAx>
        <c:axId val="128849024"/>
        <c:scaling>
          <c:logBase val="10"/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Smoke Point / Burner Diameter</a:t>
                </a:r>
              </a:p>
            </c:rich>
          </c:tx>
          <c:layout>
            <c:manualLayout>
              <c:xMode val="edge"/>
              <c:yMode val="edge"/>
              <c:x val="7.7691453940066596E-3"/>
              <c:y val="0.228758169934640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768640"/>
        <c:crossesAt val="10"/>
        <c:crossBetween val="midCat"/>
      </c:valAx>
      <c:spPr>
        <a:solidFill>
          <a:srgbClr val="FFFFFF"/>
        </a:solidFill>
        <a:ln w="31750">
          <a:solidFill>
            <a:schemeClr val="tx1"/>
          </a:solidFill>
          <a:prstDash val="solid"/>
        </a:ln>
      </c:spPr>
    </c:plotArea>
    <c:legend>
      <c:legendPos val="r"/>
      <c:legendEntry>
        <c:idx val="6"/>
        <c:txPr>
          <a:bodyPr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0.66592674805771368"/>
          <c:y val="0.39869281045751637"/>
          <c:w val="0.96448390677025531"/>
          <c:h val="0.66013071895424835"/>
        </c:manualLayout>
      </c:layout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10876803551609"/>
          <c:y val="3.7581699346405227E-2"/>
          <c:w val="0.59267480577136511"/>
          <c:h val="0.80065359477124187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Datasheet'!$AG$5:$AG$9</c:f>
              <c:numCache>
                <c:formatCode>General</c:formatCode>
                <c:ptCount val="5"/>
                <c:pt idx="0">
                  <c:v>0.20469791094270096</c:v>
                </c:pt>
                <c:pt idx="1">
                  <c:v>0.16307904748233024</c:v>
                </c:pt>
                <c:pt idx="2">
                  <c:v>0.18687216264835324</c:v>
                </c:pt>
                <c:pt idx="3">
                  <c:v>0.17508944772163854</c:v>
                </c:pt>
                <c:pt idx="4">
                  <c:v>0.13307328706391836</c:v>
                </c:pt>
              </c:numCache>
            </c:numRef>
          </c:xVal>
          <c:yVal>
            <c:numRef>
              <c:f>'Smoke Point Datasheet'!$S$5:$S$9</c:f>
              <c:numCache>
                <c:formatCode>General</c:formatCode>
                <c:ptCount val="5"/>
                <c:pt idx="0">
                  <c:v>75.354798590478822</c:v>
                </c:pt>
                <c:pt idx="1">
                  <c:v>53.989152214468319</c:v>
                </c:pt>
                <c:pt idx="2">
                  <c:v>55.827057279071376</c:v>
                </c:pt>
                <c:pt idx="3">
                  <c:v>57.504493971454878</c:v>
                </c:pt>
                <c:pt idx="4">
                  <c:v>36.988530366890075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Datasheet'!$AG$10</c:f>
              <c:numCache>
                <c:formatCode>General</c:formatCode>
                <c:ptCount val="1"/>
                <c:pt idx="0">
                  <c:v>1.1970634090740315E-2</c:v>
                </c:pt>
              </c:numCache>
            </c:numRef>
          </c:xVal>
          <c:yVal>
            <c:numRef>
              <c:f>'Smoke Point Datasheet'!$S$10</c:f>
              <c:numCache>
                <c:formatCode>General</c:formatCode>
                <c:ptCount val="1"/>
                <c:pt idx="0">
                  <c:v>105.22075589027845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Datasheet'!$AG$11:$AG$13</c:f>
              <c:numCache>
                <c:formatCode>General</c:formatCode>
                <c:ptCount val="3"/>
                <c:pt idx="0">
                  <c:v>0.27235923797562017</c:v>
                </c:pt>
                <c:pt idx="1">
                  <c:v>0.26517169981030758</c:v>
                </c:pt>
                <c:pt idx="2">
                  <c:v>0.22776459196058962</c:v>
                </c:pt>
              </c:numCache>
            </c:numRef>
          </c:xVal>
          <c:yVal>
            <c:numRef>
              <c:f>'Smoke Point Datasheet'!$S$11:$S$13</c:f>
              <c:numCache>
                <c:formatCode>General</c:formatCode>
                <c:ptCount val="3"/>
                <c:pt idx="0">
                  <c:v>71.383567938857453</c:v>
                </c:pt>
                <c:pt idx="1">
                  <c:v>61.119455328205881</c:v>
                </c:pt>
                <c:pt idx="2">
                  <c:v>45.522586348649611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Datasheet'!$AG$14:$AG$16</c:f>
              <c:numCache>
                <c:formatCode>General</c:formatCode>
                <c:ptCount val="3"/>
                <c:pt idx="0">
                  <c:v>3.6451099048528619E-2</c:v>
                </c:pt>
                <c:pt idx="1">
                  <c:v>3.3803527232817862E-2</c:v>
                </c:pt>
                <c:pt idx="2">
                  <c:v>3.071016217731444E-2</c:v>
                </c:pt>
              </c:numCache>
            </c:numRef>
          </c:xVal>
          <c:yVal>
            <c:numRef>
              <c:f>'Smoke Point Datasheet'!$S$14:$S$16</c:f>
              <c:numCache>
                <c:formatCode>General</c:formatCode>
                <c:ptCount val="3"/>
                <c:pt idx="0">
                  <c:v>105.45049402335384</c:v>
                </c:pt>
                <c:pt idx="1">
                  <c:v>75.584536723554208</c:v>
                </c:pt>
                <c:pt idx="2">
                  <c:v>64.327368202860498</c:v>
                </c:pt>
              </c:numCache>
            </c:numRef>
          </c:yVal>
          <c:smooth val="0"/>
        </c:ser>
        <c:ser>
          <c:idx val="3"/>
          <c:order val="4"/>
          <c:tx>
            <c:v>75% Propylene 1.6mm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Datasheet'!$AG$17:$AG$28</c:f>
              <c:numCache>
                <c:formatCode>General</c:formatCode>
                <c:ptCount val="12"/>
                <c:pt idx="0">
                  <c:v>0.54387807579118219</c:v>
                </c:pt>
                <c:pt idx="1">
                  <c:v>0.50313496391187473</c:v>
                </c:pt>
                <c:pt idx="2">
                  <c:v>0.551494429326993</c:v>
                </c:pt>
                <c:pt idx="3">
                  <c:v>0.50218913239546581</c:v>
                </c:pt>
                <c:pt idx="4">
                  <c:v>0.45844144101134127</c:v>
                </c:pt>
                <c:pt idx="5">
                  <c:v>0.32330783958695447</c:v>
                </c:pt>
                <c:pt idx="6">
                  <c:v>0.32990595876219841</c:v>
                </c:pt>
                <c:pt idx="7">
                  <c:v>0.47024827741595981</c:v>
                </c:pt>
                <c:pt idx="8">
                  <c:v>0.4016036098315659</c:v>
                </c:pt>
                <c:pt idx="9">
                  <c:v>0.47770295478779345</c:v>
                </c:pt>
                <c:pt idx="10">
                  <c:v>7.1272374007604417E-2</c:v>
                </c:pt>
                <c:pt idx="11">
                  <c:v>6.0007741643325459E-2</c:v>
                </c:pt>
              </c:numCache>
            </c:numRef>
          </c:xVal>
          <c:yVal>
            <c:numRef>
              <c:f>'Smoke Point Datasheet'!$S$17:$S$26</c:f>
              <c:numCache>
                <c:formatCode>General</c:formatCode>
                <c:ptCount val="10"/>
                <c:pt idx="0">
                  <c:v>37.67774476611622</c:v>
                </c:pt>
                <c:pt idx="1">
                  <c:v>35.839839701513156</c:v>
                </c:pt>
                <c:pt idx="2">
                  <c:v>31.704553306156285</c:v>
                </c:pt>
                <c:pt idx="3">
                  <c:v>26.650314378497882</c:v>
                </c:pt>
                <c:pt idx="4">
                  <c:v>21.13659918468872</c:v>
                </c:pt>
                <c:pt idx="5">
                  <c:v>14.474193325502654</c:v>
                </c:pt>
                <c:pt idx="6">
                  <c:v>14.158540794131824</c:v>
                </c:pt>
                <c:pt idx="7">
                  <c:v>20.364052322316638</c:v>
                </c:pt>
                <c:pt idx="8">
                  <c:v>15.608727809261254</c:v>
                </c:pt>
                <c:pt idx="9">
                  <c:v>17.881738322287148</c:v>
                </c:pt>
              </c:numCache>
            </c:numRef>
          </c:yVal>
          <c:smooth val="0"/>
        </c:ser>
        <c:ser>
          <c:idx val="4"/>
          <c:order val="5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Datasheet'!$AG$27:$AG$30</c:f>
              <c:numCache>
                <c:formatCode>General</c:formatCode>
                <c:ptCount val="4"/>
                <c:pt idx="0">
                  <c:v>7.1272374007604417E-2</c:v>
                </c:pt>
                <c:pt idx="1">
                  <c:v>6.0007741643325459E-2</c:v>
                </c:pt>
                <c:pt idx="2">
                  <c:v>6.1772675221070328E-2</c:v>
                </c:pt>
                <c:pt idx="3">
                  <c:v>6.9788742324597683E-2</c:v>
                </c:pt>
              </c:numCache>
            </c:numRef>
          </c:xVal>
          <c:yVal>
            <c:numRef>
              <c:f>'Smoke Point Datasheet'!$S$27:$S$30</c:f>
              <c:numCache>
                <c:formatCode>General</c:formatCode>
                <c:ptCount val="4"/>
                <c:pt idx="0">
                  <c:v>39.515649830719269</c:v>
                </c:pt>
                <c:pt idx="1">
                  <c:v>21.973157245733759</c:v>
                </c:pt>
                <c:pt idx="2">
                  <c:v>20.154748835313043</c:v>
                </c:pt>
                <c:pt idx="3">
                  <c:v>43.97615819320869</c:v>
                </c:pt>
              </c:numCache>
            </c:numRef>
          </c:yVal>
          <c:smooth val="0"/>
        </c:ser>
        <c:ser>
          <c:idx val="5"/>
          <c:order val="6"/>
          <c:tx>
            <c:v>50% Propylene 1.6mm</c:v>
          </c:tx>
          <c:spPr>
            <a:ln w="28575">
              <a:noFill/>
            </a:ln>
          </c:spPr>
          <c:marker>
            <c:symbol val="picture"/>
            <c:spPr>
              <a:blipFill dpi="0" rotWithShape="0">
                <a:blip xmlns:r="http://schemas.openxmlformats.org/officeDocument/2006/relationships" r:embed="rId1"/>
                <a:srcRect/>
                <a:stretch>
                  <a:fillRect/>
                </a:stretch>
              </a:blipFill>
              <a:ln w="9525">
                <a:noFill/>
              </a:ln>
            </c:spPr>
          </c:marker>
          <c:xVal>
            <c:numRef>
              <c:f>'Smoke Point Datasheet'!$AG$31:$AG$37</c:f>
              <c:numCache>
                <c:formatCode>General</c:formatCode>
                <c:ptCount val="7"/>
                <c:pt idx="0">
                  <c:v>0.20319838083159619</c:v>
                </c:pt>
                <c:pt idx="1">
                  <c:v>0.17323299356258259</c:v>
                </c:pt>
                <c:pt idx="2">
                  <c:v>0.11624736805243038</c:v>
                </c:pt>
                <c:pt idx="3">
                  <c:v>0.17435062577911536</c:v>
                </c:pt>
                <c:pt idx="4">
                  <c:v>0.20123511145158077</c:v>
                </c:pt>
                <c:pt idx="5">
                  <c:v>0.21553188339874282</c:v>
                </c:pt>
                <c:pt idx="6">
                  <c:v>0.11085052928220951</c:v>
                </c:pt>
              </c:numCache>
            </c:numRef>
          </c:xVal>
          <c:yVal>
            <c:numRef>
              <c:f>'Smoke Point Datasheet'!$S$31:$S$37</c:f>
              <c:numCache>
                <c:formatCode>General</c:formatCode>
                <c:ptCount val="7"/>
                <c:pt idx="0">
                  <c:v>41.72808115184219</c:v>
                </c:pt>
                <c:pt idx="1">
                  <c:v>32.501314628506648</c:v>
                </c:pt>
                <c:pt idx="2">
                  <c:v>26.515626471498351</c:v>
                </c:pt>
                <c:pt idx="3">
                  <c:v>33.41256921447696</c:v>
                </c:pt>
                <c:pt idx="4">
                  <c:v>42.378594780349147</c:v>
                </c:pt>
                <c:pt idx="5">
                  <c:v>49.505435614760387</c:v>
                </c:pt>
                <c:pt idx="6">
                  <c:v>22.121202289754166</c:v>
                </c:pt>
              </c:numCache>
            </c:numRef>
          </c:yVal>
          <c:smooth val="0"/>
        </c:ser>
        <c:ser>
          <c:idx val="6"/>
          <c:order val="7"/>
          <c:tx>
            <c:v>Propylene 1.6mm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Datasheet'!$AG$38:$AG$47</c:f>
              <c:numCache>
                <c:formatCode>General</c:formatCode>
                <c:ptCount val="10"/>
                <c:pt idx="0">
                  <c:v>0.90105918490794845</c:v>
                </c:pt>
                <c:pt idx="1">
                  <c:v>0.80985276678550244</c:v>
                </c:pt>
                <c:pt idx="2">
                  <c:v>0.71300220092010658</c:v>
                </c:pt>
                <c:pt idx="3">
                  <c:v>0.3629197510487126</c:v>
                </c:pt>
                <c:pt idx="4">
                  <c:v>0.62564475667485653</c:v>
                </c:pt>
                <c:pt idx="5">
                  <c:v>0.44883658332631104</c:v>
                </c:pt>
                <c:pt idx="6">
                  <c:v>0.73111188216753464</c:v>
                </c:pt>
                <c:pt idx="7">
                  <c:v>0.85704520712309218</c:v>
                </c:pt>
                <c:pt idx="8">
                  <c:v>0.84902579293133551</c:v>
                </c:pt>
                <c:pt idx="9">
                  <c:v>0.92321959376057683</c:v>
                </c:pt>
              </c:numCache>
            </c:numRef>
          </c:xVal>
          <c:yVal>
            <c:numRef>
              <c:f>'Smoke Point Datasheet'!$S$38:$S$47</c:f>
              <c:numCache>
                <c:formatCode>General</c:formatCode>
                <c:ptCount val="10"/>
                <c:pt idx="0">
                  <c:v>25.731627702244865</c:v>
                </c:pt>
                <c:pt idx="1">
                  <c:v>19.634050140212551</c:v>
                </c:pt>
                <c:pt idx="2">
                  <c:v>15.794834638192199</c:v>
                </c:pt>
                <c:pt idx="3">
                  <c:v>13.988144990182633</c:v>
                </c:pt>
                <c:pt idx="4">
                  <c:v>15.486779909668897</c:v>
                </c:pt>
                <c:pt idx="5">
                  <c:v>13.416820766403589</c:v>
                </c:pt>
                <c:pt idx="6">
                  <c:v>17.556739052934205</c:v>
                </c:pt>
                <c:pt idx="7">
                  <c:v>26.526562007083882</c:v>
                </c:pt>
                <c:pt idx="8">
                  <c:v>23.076630101641697</c:v>
                </c:pt>
                <c:pt idx="9">
                  <c:v>19.396702735836712</c:v>
                </c:pt>
              </c:numCache>
            </c:numRef>
          </c:yVal>
          <c:smooth val="0"/>
        </c:ser>
        <c:ser>
          <c:idx val="7"/>
          <c:order val="8"/>
          <c:tx>
            <c:v>Propylene 0.76mm</c:v>
          </c:tx>
          <c:spPr>
            <a:ln w="28575">
              <a:noFill/>
            </a:ln>
          </c:spPr>
          <c:marker>
            <c:symbol val="diamond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Datasheet'!$AG$48:$AG$55</c:f>
              <c:numCache>
                <c:formatCode>General</c:formatCode>
                <c:ptCount val="8"/>
                <c:pt idx="0">
                  <c:v>0.1632373136314729</c:v>
                </c:pt>
                <c:pt idx="1">
                  <c:v>0.1396139750536862</c:v>
                </c:pt>
                <c:pt idx="2">
                  <c:v>0.14071706188759345</c:v>
                </c:pt>
                <c:pt idx="3">
                  <c:v>0.1300755400638457</c:v>
                </c:pt>
                <c:pt idx="4">
                  <c:v>9.7723854012914599E-2</c:v>
                </c:pt>
                <c:pt idx="5">
                  <c:v>0.15179545886968962</c:v>
                </c:pt>
                <c:pt idx="6">
                  <c:v>0.13218215944439871</c:v>
                </c:pt>
                <c:pt idx="7">
                  <c:v>5.8961771289588925E-2</c:v>
                </c:pt>
              </c:numCache>
            </c:numRef>
          </c:xVal>
          <c:yVal>
            <c:numRef>
              <c:f>'Smoke Point Datasheet'!$S$48:$S$55</c:f>
              <c:numCache>
                <c:formatCode>General</c:formatCode>
                <c:ptCount val="8"/>
                <c:pt idx="0">
                  <c:v>26.634972526249655</c:v>
                </c:pt>
                <c:pt idx="1">
                  <c:v>22.795757024229317</c:v>
                </c:pt>
                <c:pt idx="2">
                  <c:v>21.666575994223322</c:v>
                </c:pt>
                <c:pt idx="3">
                  <c:v>21.926652799827636</c:v>
                </c:pt>
                <c:pt idx="4">
                  <c:v>15.946770830394527</c:v>
                </c:pt>
                <c:pt idx="5">
                  <c:v>31.816457595428545</c:v>
                </c:pt>
                <c:pt idx="6">
                  <c:v>26.296566546721067</c:v>
                </c:pt>
                <c:pt idx="7">
                  <c:v>14.213981196183823</c:v>
                </c:pt>
              </c:numCache>
            </c:numRef>
          </c:yVal>
          <c:smooth val="0"/>
        </c:ser>
        <c:ser>
          <c:idx val="8"/>
          <c:order val="9"/>
          <c:tx>
            <c:v>Propylene 0.41mm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777777"/>
              </a:solidFill>
              <a:ln w="9525">
                <a:noFill/>
              </a:ln>
            </c:spPr>
          </c:marker>
          <c:xVal>
            <c:numRef>
              <c:f>'Smoke Point Datasheet'!$AG$56:$AG$59</c:f>
              <c:numCache>
                <c:formatCode>General</c:formatCode>
                <c:ptCount val="4"/>
                <c:pt idx="0">
                  <c:v>1.8835852467045184E-2</c:v>
                </c:pt>
                <c:pt idx="1">
                  <c:v>1.2403091494429214E-2</c:v>
                </c:pt>
                <c:pt idx="2">
                  <c:v>6.58859863240228E-3</c:v>
                </c:pt>
                <c:pt idx="3">
                  <c:v>5.5341767883278232E-3</c:v>
                </c:pt>
              </c:numCache>
            </c:numRef>
          </c:xVal>
          <c:yVal>
            <c:numRef>
              <c:f>'Smoke Point Datasheet'!$S$56:$S$59</c:f>
              <c:numCache>
                <c:formatCode>General</c:formatCode>
                <c:ptCount val="4"/>
                <c:pt idx="0">
                  <c:v>53.283644834390898</c:v>
                </c:pt>
                <c:pt idx="1">
                  <c:v>46.96023106635738</c:v>
                </c:pt>
                <c:pt idx="2">
                  <c:v>59.185917378603172</c:v>
                </c:pt>
                <c:pt idx="3">
                  <c:v>37.700946620308301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99584"/>
        <c:axId val="129301888"/>
      </c:scatterChart>
      <c:valAx>
        <c:axId val="12929958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ua/uf</a:t>
                </a:r>
              </a:p>
            </c:rich>
          </c:tx>
          <c:layout>
            <c:manualLayout>
              <c:xMode val="edge"/>
              <c:yMode val="edge"/>
              <c:x val="0.36514977881285965"/>
              <c:y val="0.900326666483762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in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301888"/>
        <c:crosses val="autoZero"/>
        <c:crossBetween val="midCat"/>
      </c:valAx>
      <c:valAx>
        <c:axId val="129301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L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SP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(mm)</a:t>
                </a:r>
              </a:p>
            </c:rich>
          </c:tx>
          <c:layout>
            <c:manualLayout>
              <c:xMode val="edge"/>
              <c:yMode val="edge"/>
              <c:x val="2.2197577415499119E-3"/>
              <c:y val="0.346405296898863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9299584"/>
        <c:crosses val="autoZero"/>
        <c:crossBetween val="midCat"/>
      </c:valAx>
      <c:spPr>
        <a:solidFill>
          <a:srgbClr val="FFFFFF"/>
        </a:solidFill>
        <a:ln w="31750">
          <a:solidFill>
            <a:schemeClr val="tx1"/>
          </a:solidFill>
          <a:prstDash val="solid"/>
        </a:ln>
      </c:spPr>
    </c:plotArea>
    <c:legend>
      <c:legendPos val="r"/>
      <c:legendEntry>
        <c:idx val="6"/>
        <c:txPr>
          <a:bodyPr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0.45061045186253129"/>
          <c:y val="6.5904140031276578E-2"/>
          <c:w val="0.67147622392271389"/>
          <c:h val="0.32734213101411103"/>
        </c:manualLayout>
      </c:layout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10876803551609"/>
          <c:y val="3.7581699346405227E-2"/>
          <c:w val="0.59600443951165372"/>
          <c:h val="0.80065359477124187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Datasheet'!$AM$5:$AM$9</c:f>
              <c:numCache>
                <c:formatCode>General</c:formatCode>
                <c:ptCount val="5"/>
                <c:pt idx="0">
                  <c:v>51.980344545958673</c:v>
                </c:pt>
                <c:pt idx="1">
                  <c:v>37.754144986012086</c:v>
                </c:pt>
                <c:pt idx="2">
                  <c:v>38.483693681393959</c:v>
                </c:pt>
                <c:pt idx="3">
                  <c:v>38.118919333703019</c:v>
                </c:pt>
                <c:pt idx="4">
                  <c:v>25.534204338365665</c:v>
                </c:pt>
              </c:numCache>
            </c:numRef>
          </c:xVal>
          <c:yVal>
            <c:numRef>
              <c:f>'Smoke Point Datasheet'!$S$5:$S$9</c:f>
              <c:numCache>
                <c:formatCode>General</c:formatCode>
                <c:ptCount val="5"/>
                <c:pt idx="0">
                  <c:v>75.354798590478822</c:v>
                </c:pt>
                <c:pt idx="1">
                  <c:v>53.989152214468319</c:v>
                </c:pt>
                <c:pt idx="2">
                  <c:v>55.827057279071376</c:v>
                </c:pt>
                <c:pt idx="3">
                  <c:v>57.504493971454878</c:v>
                </c:pt>
                <c:pt idx="4">
                  <c:v>36.988530366890075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Datasheet'!$AM$10</c:f>
              <c:numCache>
                <c:formatCode>General</c:formatCode>
                <c:ptCount val="1"/>
                <c:pt idx="0">
                  <c:v>61.099703238232117</c:v>
                </c:pt>
              </c:numCache>
            </c:numRef>
          </c:xVal>
          <c:yVal>
            <c:numRef>
              <c:f>'Smoke Point Datasheet'!$S$10</c:f>
              <c:numCache>
                <c:formatCode>General</c:formatCode>
                <c:ptCount val="1"/>
                <c:pt idx="0">
                  <c:v>105.22075589027845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Datasheet'!$AM$11:$AM$13</c:f>
              <c:numCache>
                <c:formatCode>General</c:formatCode>
                <c:ptCount val="3"/>
                <c:pt idx="0">
                  <c:v>50.153110460285468</c:v>
                </c:pt>
                <c:pt idx="1">
                  <c:v>41.794258716904551</c:v>
                </c:pt>
                <c:pt idx="2">
                  <c:v>29.801123606836288</c:v>
                </c:pt>
              </c:numCache>
            </c:numRef>
          </c:xVal>
          <c:yVal>
            <c:numRef>
              <c:f>'Smoke Point Datasheet'!$S$11:$S$13</c:f>
              <c:numCache>
                <c:formatCode>General</c:formatCode>
                <c:ptCount val="3"/>
                <c:pt idx="0">
                  <c:v>71.383567938857453</c:v>
                </c:pt>
                <c:pt idx="1">
                  <c:v>61.119455328205881</c:v>
                </c:pt>
                <c:pt idx="2">
                  <c:v>45.522586348649611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Datasheet'!$AM$14:$AM$16</c:f>
              <c:numCache>
                <c:formatCode>General</c:formatCode>
                <c:ptCount val="3"/>
                <c:pt idx="0">
                  <c:v>63.599958917028665</c:v>
                </c:pt>
                <c:pt idx="1">
                  <c:v>43.611400400248222</c:v>
                </c:pt>
                <c:pt idx="2">
                  <c:v>37.433118676879722</c:v>
                </c:pt>
              </c:numCache>
            </c:numRef>
          </c:xVal>
          <c:yVal>
            <c:numRef>
              <c:f>'Smoke Point Datasheet'!$S$14:$S$16</c:f>
              <c:numCache>
                <c:formatCode>General</c:formatCode>
                <c:ptCount val="3"/>
                <c:pt idx="0">
                  <c:v>105.45049402335384</c:v>
                </c:pt>
                <c:pt idx="1">
                  <c:v>75.584536723554208</c:v>
                </c:pt>
                <c:pt idx="2">
                  <c:v>64.327368202860498</c:v>
                </c:pt>
              </c:numCache>
            </c:numRef>
          </c:yVal>
          <c:smooth val="0"/>
        </c:ser>
        <c:ser>
          <c:idx val="3"/>
          <c:order val="4"/>
          <c:tx>
            <c:v>75% Propylene 1.6mm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Datasheet'!$AM$17:$AM$28</c:f>
              <c:numCache>
                <c:formatCode>General</c:formatCode>
                <c:ptCount val="12"/>
                <c:pt idx="0">
                  <c:v>24.850216529144404</c:v>
                </c:pt>
                <c:pt idx="1">
                  <c:v>24.516656575733073</c:v>
                </c:pt>
                <c:pt idx="2">
                  <c:v>19.51325727456306</c:v>
                </c:pt>
                <c:pt idx="3">
                  <c:v>17.51189755409505</c:v>
                </c:pt>
                <c:pt idx="4">
                  <c:v>13.175618159747705</c:v>
                </c:pt>
                <c:pt idx="5">
                  <c:v>8.3389988352833573</c:v>
                </c:pt>
                <c:pt idx="6">
                  <c:v>8.1722188585776916</c:v>
                </c:pt>
                <c:pt idx="7">
                  <c:v>12.008158322808034</c:v>
                </c:pt>
                <c:pt idx="8">
                  <c:v>8.6725587886946922</c:v>
                </c:pt>
                <c:pt idx="9">
                  <c:v>10.173578579045698</c:v>
                </c:pt>
                <c:pt idx="10">
                  <c:v>24.850216529144404</c:v>
                </c:pt>
                <c:pt idx="11">
                  <c:v>11.674598369396699</c:v>
                </c:pt>
              </c:numCache>
            </c:numRef>
          </c:xVal>
          <c:yVal>
            <c:numRef>
              <c:f>'Smoke Point Datasheet'!$S$17:$S$26</c:f>
              <c:numCache>
                <c:formatCode>General</c:formatCode>
                <c:ptCount val="10"/>
                <c:pt idx="0">
                  <c:v>37.67774476611622</c:v>
                </c:pt>
                <c:pt idx="1">
                  <c:v>35.839839701513156</c:v>
                </c:pt>
                <c:pt idx="2">
                  <c:v>31.704553306156285</c:v>
                </c:pt>
                <c:pt idx="3">
                  <c:v>26.650314378497882</c:v>
                </c:pt>
                <c:pt idx="4">
                  <c:v>21.13659918468872</c:v>
                </c:pt>
                <c:pt idx="5">
                  <c:v>14.474193325502654</c:v>
                </c:pt>
                <c:pt idx="6">
                  <c:v>14.158540794131824</c:v>
                </c:pt>
                <c:pt idx="7">
                  <c:v>20.364052322316638</c:v>
                </c:pt>
                <c:pt idx="8">
                  <c:v>15.608727809261254</c:v>
                </c:pt>
                <c:pt idx="9">
                  <c:v>17.881738322287148</c:v>
                </c:pt>
              </c:numCache>
            </c:numRef>
          </c:yVal>
          <c:smooth val="0"/>
        </c:ser>
        <c:ser>
          <c:idx val="4"/>
          <c:order val="5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Datasheet'!$AM$27:$AM$30</c:f>
              <c:numCache>
                <c:formatCode>General</c:formatCode>
                <c:ptCount val="4"/>
                <c:pt idx="0">
                  <c:v>24.850216529144404</c:v>
                </c:pt>
                <c:pt idx="1">
                  <c:v>11.674598369396699</c:v>
                </c:pt>
                <c:pt idx="2">
                  <c:v>11.341038415985365</c:v>
                </c:pt>
                <c:pt idx="3">
                  <c:v>26.017676366084075</c:v>
                </c:pt>
              </c:numCache>
            </c:numRef>
          </c:xVal>
          <c:yVal>
            <c:numRef>
              <c:f>'Smoke Point Datasheet'!$S$27:$S$30</c:f>
              <c:numCache>
                <c:formatCode>General</c:formatCode>
                <c:ptCount val="4"/>
                <c:pt idx="0">
                  <c:v>39.515649830719269</c:v>
                </c:pt>
                <c:pt idx="1">
                  <c:v>21.973157245733759</c:v>
                </c:pt>
                <c:pt idx="2">
                  <c:v>20.154748835313043</c:v>
                </c:pt>
                <c:pt idx="3">
                  <c:v>43.97615819320869</c:v>
                </c:pt>
              </c:numCache>
            </c:numRef>
          </c:yVal>
          <c:smooth val="0"/>
        </c:ser>
        <c:ser>
          <c:idx val="5"/>
          <c:order val="6"/>
          <c:tx>
            <c:v>50% Propylene 1.6mm</c:v>
          </c:tx>
          <c:spPr>
            <a:ln w="28575">
              <a:noFill/>
            </a:ln>
          </c:spPr>
          <c:marker>
            <c:symbol val="picture"/>
            <c:spPr>
              <a:blipFill dpi="0" rotWithShape="0">
                <a:blip xmlns:r="http://schemas.openxmlformats.org/officeDocument/2006/relationships" r:embed="rId1"/>
                <a:srcRect/>
                <a:stretch>
                  <a:fillRect/>
                </a:stretch>
              </a:blipFill>
              <a:ln w="9525">
                <a:noFill/>
              </a:ln>
            </c:spPr>
          </c:marker>
          <c:xVal>
            <c:numRef>
              <c:f>'Smoke Point Datasheet'!$AM$31:$AM$37</c:f>
              <c:numCache>
                <c:formatCode>General</c:formatCode>
                <c:ptCount val="7"/>
                <c:pt idx="0">
                  <c:v>28.327590181019843</c:v>
                </c:pt>
                <c:pt idx="1">
                  <c:v>21.556605210922417</c:v>
                </c:pt>
                <c:pt idx="2">
                  <c:v>15.891087174718448</c:v>
                </c:pt>
                <c:pt idx="3">
                  <c:v>21.418421844185733</c:v>
                </c:pt>
                <c:pt idx="4">
                  <c:v>28.603956914493207</c:v>
                </c:pt>
                <c:pt idx="5">
                  <c:v>32.334907816383627</c:v>
                </c:pt>
                <c:pt idx="6">
                  <c:v>14.232886773878263</c:v>
                </c:pt>
              </c:numCache>
            </c:numRef>
          </c:xVal>
          <c:yVal>
            <c:numRef>
              <c:f>'Smoke Point Datasheet'!$S$31:$S$37</c:f>
              <c:numCache>
                <c:formatCode>General</c:formatCode>
                <c:ptCount val="7"/>
                <c:pt idx="0">
                  <c:v>41.72808115184219</c:v>
                </c:pt>
                <c:pt idx="1">
                  <c:v>32.501314628506648</c:v>
                </c:pt>
                <c:pt idx="2">
                  <c:v>26.515626471498351</c:v>
                </c:pt>
                <c:pt idx="3">
                  <c:v>33.41256921447696</c:v>
                </c:pt>
                <c:pt idx="4">
                  <c:v>42.378594780349147</c:v>
                </c:pt>
                <c:pt idx="5">
                  <c:v>49.505435614760387</c:v>
                </c:pt>
                <c:pt idx="6">
                  <c:v>22.121202289754166</c:v>
                </c:pt>
              </c:numCache>
            </c:numRef>
          </c:yVal>
          <c:smooth val="0"/>
        </c:ser>
        <c:ser>
          <c:idx val="6"/>
          <c:order val="7"/>
          <c:tx>
            <c:v>Propylene 1.6mm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Datasheet'!$AM$38:$AM$47</c:f>
              <c:numCache>
                <c:formatCode>General</c:formatCode>
                <c:ptCount val="10"/>
                <c:pt idx="0">
                  <c:v>15.702303670380385</c:v>
                </c:pt>
                <c:pt idx="1">
                  <c:v>11.402863379680996</c:v>
                </c:pt>
                <c:pt idx="2">
                  <c:v>8.5988805813987845</c:v>
                </c:pt>
                <c:pt idx="3">
                  <c:v>6.9164909024294561</c:v>
                </c:pt>
                <c:pt idx="4">
                  <c:v>8.972744954503078</c:v>
                </c:pt>
                <c:pt idx="5">
                  <c:v>6.1687621562208665</c:v>
                </c:pt>
                <c:pt idx="6">
                  <c:v>11.215931193128846</c:v>
                </c:pt>
                <c:pt idx="7">
                  <c:v>18.319354282110453</c:v>
                </c:pt>
                <c:pt idx="8">
                  <c:v>15.141507110723945</c:v>
                </c:pt>
                <c:pt idx="9">
                  <c:v>11.963659939337436</c:v>
                </c:pt>
              </c:numCache>
            </c:numRef>
          </c:xVal>
          <c:yVal>
            <c:numRef>
              <c:f>'Smoke Point Datasheet'!$S$38:$S$47</c:f>
              <c:numCache>
                <c:formatCode>General</c:formatCode>
                <c:ptCount val="10"/>
                <c:pt idx="0">
                  <c:v>25.731627702244865</c:v>
                </c:pt>
                <c:pt idx="1">
                  <c:v>19.634050140212551</c:v>
                </c:pt>
                <c:pt idx="2">
                  <c:v>15.794834638192199</c:v>
                </c:pt>
                <c:pt idx="3">
                  <c:v>13.988144990182633</c:v>
                </c:pt>
                <c:pt idx="4">
                  <c:v>15.486779909668897</c:v>
                </c:pt>
                <c:pt idx="5">
                  <c:v>13.416820766403589</c:v>
                </c:pt>
                <c:pt idx="6">
                  <c:v>17.556739052934205</c:v>
                </c:pt>
                <c:pt idx="7">
                  <c:v>26.526562007083882</c:v>
                </c:pt>
                <c:pt idx="8">
                  <c:v>23.076630101641697</c:v>
                </c:pt>
                <c:pt idx="9">
                  <c:v>19.396702735836712</c:v>
                </c:pt>
              </c:numCache>
            </c:numRef>
          </c:yVal>
          <c:smooth val="0"/>
        </c:ser>
        <c:ser>
          <c:idx val="7"/>
          <c:order val="8"/>
          <c:tx>
            <c:v>Propylene 0.76mm</c:v>
          </c:tx>
          <c:spPr>
            <a:ln w="28575">
              <a:noFill/>
            </a:ln>
          </c:spPr>
          <c:marker>
            <c:symbol val="diamond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Datasheet'!$AM$48:$AM$55</c:f>
              <c:numCache>
                <c:formatCode>General</c:formatCode>
                <c:ptCount val="8"/>
                <c:pt idx="0">
                  <c:v>15.702303670380385</c:v>
                </c:pt>
                <c:pt idx="1">
                  <c:v>12.898320872098175</c:v>
                </c:pt>
                <c:pt idx="2">
                  <c:v>11.963659939337436</c:v>
                </c:pt>
                <c:pt idx="3">
                  <c:v>11.589795566233143</c:v>
                </c:pt>
                <c:pt idx="4">
                  <c:v>8.2250162082944875</c:v>
                </c:pt>
                <c:pt idx="5">
                  <c:v>20.749472707288369</c:v>
                </c:pt>
                <c:pt idx="6">
                  <c:v>14.954574924171796</c:v>
                </c:pt>
                <c:pt idx="7">
                  <c:v>7.6642196486380465</c:v>
                </c:pt>
              </c:numCache>
            </c:numRef>
          </c:xVal>
          <c:yVal>
            <c:numRef>
              <c:f>'Smoke Point Datasheet'!$S$48:$S$55</c:f>
              <c:numCache>
                <c:formatCode>General</c:formatCode>
                <c:ptCount val="8"/>
                <c:pt idx="0">
                  <c:v>26.634972526249655</c:v>
                </c:pt>
                <c:pt idx="1">
                  <c:v>22.795757024229317</c:v>
                </c:pt>
                <c:pt idx="2">
                  <c:v>21.666575994223322</c:v>
                </c:pt>
                <c:pt idx="3">
                  <c:v>21.926652799827636</c:v>
                </c:pt>
                <c:pt idx="4">
                  <c:v>15.946770830394527</c:v>
                </c:pt>
                <c:pt idx="5">
                  <c:v>31.816457595428545</c:v>
                </c:pt>
                <c:pt idx="6">
                  <c:v>26.296566546721067</c:v>
                </c:pt>
                <c:pt idx="7">
                  <c:v>14.213981196183823</c:v>
                </c:pt>
              </c:numCache>
            </c:numRef>
          </c:yVal>
          <c:smooth val="0"/>
        </c:ser>
        <c:ser>
          <c:idx val="8"/>
          <c:order val="9"/>
          <c:tx>
            <c:v>Propylene 0.41mm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80808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Datasheet'!$AM$56:$AM$59</c:f>
              <c:numCache>
                <c:formatCode>General</c:formatCode>
                <c:ptCount val="4"/>
                <c:pt idx="0">
                  <c:v>25.422777371092057</c:v>
                </c:pt>
                <c:pt idx="1">
                  <c:v>21.123337080392663</c:v>
                </c:pt>
                <c:pt idx="2">
                  <c:v>27.105167050061382</c:v>
                </c:pt>
                <c:pt idx="3">
                  <c:v>17.197761162797569</c:v>
                </c:pt>
              </c:numCache>
            </c:numRef>
          </c:xVal>
          <c:yVal>
            <c:numRef>
              <c:f>'Smoke Point Datasheet'!$S$56:$S$59</c:f>
              <c:numCache>
                <c:formatCode>General</c:formatCode>
                <c:ptCount val="4"/>
                <c:pt idx="0">
                  <c:v>53.283644834390898</c:v>
                </c:pt>
                <c:pt idx="1">
                  <c:v>46.96023106635738</c:v>
                </c:pt>
                <c:pt idx="2">
                  <c:v>59.185917378603172</c:v>
                </c:pt>
                <c:pt idx="3">
                  <c:v>37.700946620308301</c:v>
                </c:pt>
              </c:numCache>
            </c:numRef>
          </c:yVal>
          <c:smooth val="0"/>
        </c:ser>
        <c:ser>
          <c:idx val="10"/>
          <c:order val="10"/>
          <c:tx>
            <c:v>Ethylene LSP</c:v>
          </c:tx>
          <c:spPr>
            <a:ln w="28575">
              <a:noFill/>
            </a:ln>
          </c:spPr>
          <c:marker>
            <c:symbol val="triangle"/>
            <c:size val="6"/>
            <c:spPr>
              <a:solidFill>
                <a:srgbClr val="80808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Datasheet'!$AB$85:$AB$94</c:f>
              <c:numCache>
                <c:formatCode>General</c:formatCode>
                <c:ptCount val="10"/>
                <c:pt idx="0">
                  <c:v>9.6157769766305954</c:v>
                </c:pt>
                <c:pt idx="1">
                  <c:v>10.592812291897022</c:v>
                </c:pt>
                <c:pt idx="2">
                  <c:v>11.961417679002288</c:v>
                </c:pt>
                <c:pt idx="3">
                  <c:v>14.569185018407879</c:v>
                </c:pt>
                <c:pt idx="4">
                  <c:v>17.515704403163831</c:v>
                </c:pt>
                <c:pt idx="5">
                  <c:v>18.390637957188588</c:v>
                </c:pt>
                <c:pt idx="6">
                  <c:v>18.822999646138882</c:v>
                </c:pt>
                <c:pt idx="7">
                  <c:v>20.877552154201396</c:v>
                </c:pt>
                <c:pt idx="8">
                  <c:v>22.467443473843893</c:v>
                </c:pt>
                <c:pt idx="9">
                  <c:v>26.979997709029142</c:v>
                </c:pt>
              </c:numCache>
            </c:numRef>
          </c:xVal>
          <c:yVal>
            <c:numRef>
              <c:f>'Smoke Point Datasheet'!$S$85:$S$94</c:f>
              <c:numCache>
                <c:formatCode>0.00E+00</c:formatCode>
                <c:ptCount val="10"/>
                <c:pt idx="0">
                  <c:v>14.0716</c:v>
                </c:pt>
                <c:pt idx="1">
                  <c:v>17.3752</c:v>
                </c:pt>
                <c:pt idx="2">
                  <c:v>16.9148</c:v>
                </c:pt>
                <c:pt idx="3">
                  <c:v>26.002400000000002</c:v>
                </c:pt>
                <c:pt idx="4">
                  <c:v>24.866399999999999</c:v>
                </c:pt>
                <c:pt idx="5">
                  <c:v>28.590199999999999</c:v>
                </c:pt>
                <c:pt idx="6">
                  <c:v>29.826899999999998</c:v>
                </c:pt>
                <c:pt idx="7">
                  <c:v>35.805700000000002</c:v>
                </c:pt>
                <c:pt idx="8">
                  <c:v>36.588799999999999</c:v>
                </c:pt>
                <c:pt idx="9">
                  <c:v>33.318800000000003</c:v>
                </c:pt>
              </c:numCache>
            </c:numRef>
          </c:yVal>
          <c:smooth val="0"/>
        </c:ser>
        <c:ser>
          <c:idx val="11"/>
          <c:order val="11"/>
          <c:tx>
            <c:v>Propane LSP</c:v>
          </c:tx>
          <c:spPr>
            <a:ln w="28575">
              <a:noFill/>
            </a:ln>
          </c:spPr>
          <c:marker>
            <c:symbol val="square"/>
            <c:size val="6"/>
            <c:spPr>
              <a:solidFill>
                <a:srgbClr val="80808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'Smoke Point Datasheet'!$AB$95:$AB$101</c:f>
              <c:numCache>
                <c:formatCode>General</c:formatCode>
                <c:ptCount val="7"/>
                <c:pt idx="0">
                  <c:v>12.611629183524954</c:v>
                </c:pt>
                <c:pt idx="1">
                  <c:v>14.123226123753767</c:v>
                </c:pt>
                <c:pt idx="2">
                  <c:v>14.759840422572609</c:v>
                </c:pt>
                <c:pt idx="3">
                  <c:v>15.94966955273453</c:v>
                </c:pt>
                <c:pt idx="4">
                  <c:v>18.526806363767623</c:v>
                </c:pt>
                <c:pt idx="5">
                  <c:v>21.738888502522336</c:v>
                </c:pt>
                <c:pt idx="6">
                  <c:v>33.010873856217302</c:v>
                </c:pt>
              </c:numCache>
            </c:numRef>
          </c:xVal>
          <c:yVal>
            <c:numRef>
              <c:f>'Smoke Point Datasheet'!$S$95:$S$101</c:f>
              <c:numCache>
                <c:formatCode>0.00E+00</c:formatCode>
                <c:ptCount val="7"/>
                <c:pt idx="0">
                  <c:v>18.978300000000001</c:v>
                </c:pt>
                <c:pt idx="1">
                  <c:v>23.098600000000001</c:v>
                </c:pt>
                <c:pt idx="2">
                  <c:v>23.495200000000001</c:v>
                </c:pt>
                <c:pt idx="3">
                  <c:v>27.000499999999999</c:v>
                </c:pt>
                <c:pt idx="4">
                  <c:v>32.337400000000002</c:v>
                </c:pt>
                <c:pt idx="5">
                  <c:v>37.862499999999997</c:v>
                </c:pt>
                <c:pt idx="6">
                  <c:v>60.846899999999998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48608"/>
        <c:axId val="135758976"/>
      </c:scatterChart>
      <c:valAx>
        <c:axId val="135748608"/>
        <c:scaling>
          <c:orientation val="minMax"/>
          <c:max val="7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m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f 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/ Z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st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(mg/s)</a:t>
                </a:r>
              </a:p>
            </c:rich>
          </c:tx>
          <c:layout>
            <c:manualLayout>
              <c:xMode val="edge"/>
              <c:yMode val="edge"/>
              <c:x val="0.31964483906770258"/>
              <c:y val="0.900326797385620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in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758976"/>
        <c:crosses val="autoZero"/>
        <c:crossBetween val="midCat"/>
        <c:minorUnit val="10"/>
      </c:valAx>
      <c:valAx>
        <c:axId val="135758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L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SP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(mm)</a:t>
                </a:r>
              </a:p>
            </c:rich>
          </c:tx>
          <c:layout>
            <c:manualLayout>
              <c:xMode val="edge"/>
              <c:yMode val="edge"/>
              <c:x val="2.2197558268590455E-3"/>
              <c:y val="0.346405228758169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74860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6"/>
        <c:txPr>
          <a:bodyPr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0.71587125416204223"/>
          <c:y val="0.17320261437908496"/>
          <c:w val="0.93673695893451725"/>
          <c:h val="0.71241830065359479"/>
        </c:manualLayout>
      </c:layout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10876803551609"/>
          <c:y val="3.7581699346405227E-2"/>
          <c:w val="0.59600443951165372"/>
          <c:h val="0.80065359477124187"/>
        </c:manualLayout>
      </c:layout>
      <c:scatterChart>
        <c:scatterStyle val="lineMarker"/>
        <c:varyColors val="0"/>
        <c:ser>
          <c:idx val="0"/>
          <c:order val="0"/>
          <c:tx>
            <c:v>0.20 - 1.85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5519402472027288"/>
                  <c:y val="0.3891331720789803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8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'Smoke Point Datasheet'!$BI$5:$BI$54</c:f>
              <c:numCache>
                <c:formatCode>General</c:formatCode>
                <c:ptCount val="50"/>
                <c:pt idx="0">
                  <c:v>51.980344545958673</c:v>
                </c:pt>
                <c:pt idx="1">
                  <c:v>37.754144986012086</c:v>
                </c:pt>
                <c:pt idx="2">
                  <c:v>38.483693681393959</c:v>
                </c:pt>
                <c:pt idx="3">
                  <c:v>38.118919333703019</c:v>
                </c:pt>
                <c:pt idx="4">
                  <c:v>25.534204338365665</c:v>
                </c:pt>
                <c:pt idx="6">
                  <c:v>50.153110460285468</c:v>
                </c:pt>
                <c:pt idx="7">
                  <c:v>41.794258716904551</c:v>
                </c:pt>
                <c:pt idx="8">
                  <c:v>29.801123606836288</c:v>
                </c:pt>
                <c:pt idx="12">
                  <c:v>24.850216529144404</c:v>
                </c:pt>
                <c:pt idx="13">
                  <c:v>24.516656575733073</c:v>
                </c:pt>
                <c:pt idx="14">
                  <c:v>19.51325727456306</c:v>
                </c:pt>
                <c:pt idx="15">
                  <c:v>17.51189755409505</c:v>
                </c:pt>
                <c:pt idx="16">
                  <c:v>13.175618159747705</c:v>
                </c:pt>
                <c:pt idx="17">
                  <c:v>8.3389988352833573</c:v>
                </c:pt>
                <c:pt idx="18">
                  <c:v>8.1722188585776916</c:v>
                </c:pt>
                <c:pt idx="19">
                  <c:v>12.008158322808034</c:v>
                </c:pt>
                <c:pt idx="20">
                  <c:v>8.6725587886946922</c:v>
                </c:pt>
                <c:pt idx="21">
                  <c:v>10.173578579045698</c:v>
                </c:pt>
                <c:pt idx="26">
                  <c:v>28.327590181019843</c:v>
                </c:pt>
                <c:pt idx="27">
                  <c:v>21.556605210922417</c:v>
                </c:pt>
                <c:pt idx="28">
                  <c:v>15.891087174718448</c:v>
                </c:pt>
                <c:pt idx="29">
                  <c:v>21.418421844185733</c:v>
                </c:pt>
                <c:pt idx="30">
                  <c:v>28.603956914493207</c:v>
                </c:pt>
                <c:pt idx="31">
                  <c:v>32.334907816383627</c:v>
                </c:pt>
                <c:pt idx="32">
                  <c:v>14.232886773878263</c:v>
                </c:pt>
                <c:pt idx="33">
                  <c:v>15.702303670380385</c:v>
                </c:pt>
                <c:pt idx="34">
                  <c:v>11.402863379680996</c:v>
                </c:pt>
                <c:pt idx="35">
                  <c:v>8.5988805813987845</c:v>
                </c:pt>
                <c:pt idx="36">
                  <c:v>6.9164909024294561</c:v>
                </c:pt>
                <c:pt idx="37">
                  <c:v>8.972744954503078</c:v>
                </c:pt>
                <c:pt idx="38">
                  <c:v>6.1687621562208665</c:v>
                </c:pt>
                <c:pt idx="39">
                  <c:v>11.215931193128846</c:v>
                </c:pt>
                <c:pt idx="40">
                  <c:v>18.319354282110453</c:v>
                </c:pt>
                <c:pt idx="41">
                  <c:v>15.141507110723945</c:v>
                </c:pt>
                <c:pt idx="42">
                  <c:v>11.963659939337436</c:v>
                </c:pt>
                <c:pt idx="43">
                  <c:v>15.702303670380385</c:v>
                </c:pt>
                <c:pt idx="44">
                  <c:v>12.898320872098175</c:v>
                </c:pt>
                <c:pt idx="45">
                  <c:v>11.963659939337436</c:v>
                </c:pt>
                <c:pt idx="46">
                  <c:v>11.589795566233143</c:v>
                </c:pt>
                <c:pt idx="47">
                  <c:v>8.2250162082944875</c:v>
                </c:pt>
                <c:pt idx="48">
                  <c:v>20.749472707288369</c:v>
                </c:pt>
                <c:pt idx="49">
                  <c:v>14.954574924171796</c:v>
                </c:pt>
              </c:numCache>
            </c:numRef>
          </c:xVal>
          <c:yVal>
            <c:numRef>
              <c:f>'Smoke Point Datasheet'!$BH$5:$BH$54</c:f>
              <c:numCache>
                <c:formatCode>General</c:formatCode>
                <c:ptCount val="50"/>
                <c:pt idx="0">
                  <c:v>75.354798590478822</c:v>
                </c:pt>
                <c:pt idx="1">
                  <c:v>53.989152214468319</c:v>
                </c:pt>
                <c:pt idx="2">
                  <c:v>55.827057279071376</c:v>
                </c:pt>
                <c:pt idx="3">
                  <c:v>57.504493971454878</c:v>
                </c:pt>
                <c:pt idx="4">
                  <c:v>36.988530366890075</c:v>
                </c:pt>
                <c:pt idx="6">
                  <c:v>71.383567938857453</c:v>
                </c:pt>
                <c:pt idx="7">
                  <c:v>61.119455328205881</c:v>
                </c:pt>
                <c:pt idx="8">
                  <c:v>45.522586348649611</c:v>
                </c:pt>
                <c:pt idx="12">
                  <c:v>37.67774476611622</c:v>
                </c:pt>
                <c:pt idx="13">
                  <c:v>35.839839701513156</c:v>
                </c:pt>
                <c:pt idx="14">
                  <c:v>31.704553306156285</c:v>
                </c:pt>
                <c:pt idx="15">
                  <c:v>26.650314378497882</c:v>
                </c:pt>
                <c:pt idx="16">
                  <c:v>21.13659918468872</c:v>
                </c:pt>
                <c:pt idx="17">
                  <c:v>14.474193325502654</c:v>
                </c:pt>
                <c:pt idx="18" formatCode="0.00">
                  <c:v>14.158540794131824</c:v>
                </c:pt>
                <c:pt idx="19" formatCode="0.00">
                  <c:v>20.364052322316638</c:v>
                </c:pt>
                <c:pt idx="20">
                  <c:v>15.608727809261254</c:v>
                </c:pt>
                <c:pt idx="21">
                  <c:v>17.881738322287148</c:v>
                </c:pt>
                <c:pt idx="26">
                  <c:v>41.72808115184219</c:v>
                </c:pt>
                <c:pt idx="27">
                  <c:v>32.501314628506648</c:v>
                </c:pt>
                <c:pt idx="28">
                  <c:v>26.515626471498351</c:v>
                </c:pt>
                <c:pt idx="29">
                  <c:v>33.41256921447696</c:v>
                </c:pt>
                <c:pt idx="30">
                  <c:v>42.378594780349147</c:v>
                </c:pt>
                <c:pt idx="31">
                  <c:v>49.505435614760387</c:v>
                </c:pt>
                <c:pt idx="32">
                  <c:v>22.121202289754166</c:v>
                </c:pt>
                <c:pt idx="33">
                  <c:v>25.731627702244865</c:v>
                </c:pt>
                <c:pt idx="34">
                  <c:v>19.634050140212551</c:v>
                </c:pt>
                <c:pt idx="35">
                  <c:v>15.794834638192199</c:v>
                </c:pt>
                <c:pt idx="36">
                  <c:v>13.988144990182633</c:v>
                </c:pt>
                <c:pt idx="37">
                  <c:v>15.486779909668897</c:v>
                </c:pt>
                <c:pt idx="38">
                  <c:v>13.416820766403589</c:v>
                </c:pt>
                <c:pt idx="39">
                  <c:v>17.556739052934205</c:v>
                </c:pt>
                <c:pt idx="40">
                  <c:v>26.526562007083882</c:v>
                </c:pt>
                <c:pt idx="41">
                  <c:v>23.076630101641697</c:v>
                </c:pt>
                <c:pt idx="42">
                  <c:v>19.396702735836712</c:v>
                </c:pt>
                <c:pt idx="43">
                  <c:v>26.634972526249655</c:v>
                </c:pt>
                <c:pt idx="44">
                  <c:v>22.795757024229317</c:v>
                </c:pt>
                <c:pt idx="45">
                  <c:v>21.666575994223322</c:v>
                </c:pt>
                <c:pt idx="46">
                  <c:v>21.926652799827636</c:v>
                </c:pt>
                <c:pt idx="47">
                  <c:v>15.946770830394527</c:v>
                </c:pt>
                <c:pt idx="48">
                  <c:v>31.816457595428545</c:v>
                </c:pt>
                <c:pt idx="49">
                  <c:v>26.296566546721067</c:v>
                </c:pt>
              </c:numCache>
            </c:numRef>
          </c:yVal>
          <c:smooth val="0"/>
        </c:ser>
        <c:ser>
          <c:idx val="1"/>
          <c:order val="1"/>
          <c:tx>
            <c:v>0.061 - 0.12</c:v>
          </c:tx>
          <c:spPr>
            <a:ln w="28575">
              <a:noFill/>
            </a:ln>
          </c:spPr>
          <c:marker>
            <c:symbol val="squar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5.6260497959397679E-2"/>
                  <c:y val="0.47814866278970036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8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'Smoke Point Datasheet'!$BN$14:$BN$21</c:f>
              <c:numCache>
                <c:formatCode>General</c:formatCode>
                <c:ptCount val="8"/>
                <c:pt idx="0">
                  <c:v>63.599958917028665</c:v>
                </c:pt>
                <c:pt idx="1">
                  <c:v>43.611400400248222</c:v>
                </c:pt>
                <c:pt idx="2">
                  <c:v>37.433118676879722</c:v>
                </c:pt>
                <c:pt idx="3">
                  <c:v>24.850216529144404</c:v>
                </c:pt>
                <c:pt idx="4">
                  <c:v>11.674598369396699</c:v>
                </c:pt>
                <c:pt idx="5">
                  <c:v>11.341038415985365</c:v>
                </c:pt>
                <c:pt idx="6">
                  <c:v>26.017676366084075</c:v>
                </c:pt>
                <c:pt idx="7">
                  <c:v>7.6642196486380465</c:v>
                </c:pt>
              </c:numCache>
            </c:numRef>
          </c:xVal>
          <c:yVal>
            <c:numRef>
              <c:f>'Smoke Point Datasheet'!$BM$14:$BM$21</c:f>
              <c:numCache>
                <c:formatCode>General</c:formatCode>
                <c:ptCount val="8"/>
                <c:pt idx="0">
                  <c:v>105.45049402335384</c:v>
                </c:pt>
                <c:pt idx="1">
                  <c:v>75.584536723554208</c:v>
                </c:pt>
                <c:pt idx="2">
                  <c:v>64.327368202860498</c:v>
                </c:pt>
                <c:pt idx="3">
                  <c:v>39.515649830719269</c:v>
                </c:pt>
                <c:pt idx="4">
                  <c:v>21.973157245733759</c:v>
                </c:pt>
                <c:pt idx="5">
                  <c:v>20.154748835313043</c:v>
                </c:pt>
                <c:pt idx="6">
                  <c:v>43.97615819320869</c:v>
                </c:pt>
                <c:pt idx="7">
                  <c:v>14.213981196183823</c:v>
                </c:pt>
              </c:numCache>
            </c:numRef>
          </c:yVal>
          <c:smooth val="0"/>
        </c:ser>
        <c:ser>
          <c:idx val="2"/>
          <c:order val="2"/>
          <c:tx>
            <c:v>0.0055 - 0.019</c:v>
          </c:tx>
          <c:spPr>
            <a:ln w="28575">
              <a:noFill/>
            </a:ln>
          </c:spPr>
          <c:marker>
            <c:symbol val="plus"/>
            <c:size val="7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3732496700953446"/>
                  <c:y val="3.78143173279810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8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'Smoke Point Datasheet'!$BN$36:$BN$39</c:f>
              <c:numCache>
                <c:formatCode>General</c:formatCode>
                <c:ptCount val="4"/>
                <c:pt idx="0">
                  <c:v>25.422777371092057</c:v>
                </c:pt>
                <c:pt idx="1">
                  <c:v>21.123337080392663</c:v>
                </c:pt>
                <c:pt idx="2">
                  <c:v>27.105167050061382</c:v>
                </c:pt>
                <c:pt idx="3">
                  <c:v>17.197761162797569</c:v>
                </c:pt>
              </c:numCache>
            </c:numRef>
          </c:xVal>
          <c:yVal>
            <c:numRef>
              <c:f>'Smoke Point Datasheet'!$BM$36:$BM$39</c:f>
              <c:numCache>
                <c:formatCode>General</c:formatCode>
                <c:ptCount val="4"/>
                <c:pt idx="0">
                  <c:v>53.283644834390898</c:v>
                </c:pt>
                <c:pt idx="1">
                  <c:v>46.96023106635738</c:v>
                </c:pt>
                <c:pt idx="2">
                  <c:v>59.185917378603172</c:v>
                </c:pt>
                <c:pt idx="3">
                  <c:v>37.700946620308301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846144"/>
        <c:axId val="135864704"/>
      </c:scatterChart>
      <c:valAx>
        <c:axId val="135846144"/>
        <c:scaling>
          <c:orientation val="minMax"/>
          <c:max val="7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m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f 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/ Z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st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(mg/s)</a:t>
                </a:r>
              </a:p>
            </c:rich>
          </c:tx>
          <c:layout>
            <c:manualLayout>
              <c:xMode val="edge"/>
              <c:yMode val="edge"/>
              <c:x val="0.31964483906770258"/>
              <c:y val="0.900326797385620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in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864704"/>
        <c:crosses val="autoZero"/>
        <c:crossBetween val="midCat"/>
        <c:minorUnit val="10"/>
      </c:valAx>
      <c:valAx>
        <c:axId val="135864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L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SP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(mm)</a:t>
                </a:r>
              </a:p>
            </c:rich>
          </c:tx>
          <c:layout>
            <c:manualLayout>
              <c:xMode val="edge"/>
              <c:yMode val="edge"/>
              <c:x val="2.2197558268590455E-3"/>
              <c:y val="0.346405228758169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846144"/>
        <c:crosses val="autoZero"/>
        <c:crossBetween val="midCat"/>
      </c:valAx>
      <c:spPr>
        <a:solidFill>
          <a:srgbClr val="FFFFFF"/>
        </a:solidFill>
        <a:ln w="31750">
          <a:solidFill>
            <a:schemeClr val="tx1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73029966703662597"/>
          <c:y val="0.51143790849673199"/>
          <c:w val="0.93118756936736957"/>
          <c:h val="0.67647058823529405"/>
        </c:manualLayout>
      </c:layout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10876803551609"/>
          <c:y val="3.7581699346405227E-2"/>
          <c:w val="0.60266370699223082"/>
          <c:h val="0.80065359477124187"/>
        </c:manualLayout>
      </c:layout>
      <c:scatterChart>
        <c:scatterStyle val="lineMarker"/>
        <c:varyColors val="0"/>
        <c:ser>
          <c:idx val="0"/>
          <c:order val="0"/>
          <c:tx>
            <c:v>Ethylene 1.6mm</c:v>
          </c:tx>
          <c:spPr>
            <a:ln w="28575">
              <a:noFill/>
            </a:ln>
          </c:spPr>
          <c:marker>
            <c:symbol val="triangle"/>
            <c:size val="8"/>
            <c:spPr>
              <a:solidFill>
                <a:schemeClr val="tx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Datasheet'!$AB$5:$AB$9</c:f>
              <c:numCache>
                <c:formatCode>General</c:formatCode>
                <c:ptCount val="5"/>
                <c:pt idx="0">
                  <c:v>3.3125514168803085</c:v>
                </c:pt>
                <c:pt idx="1">
                  <c:v>2.4059583975235923</c:v>
                </c:pt>
                <c:pt idx="2">
                  <c:v>2.4524503472341932</c:v>
                </c:pt>
                <c:pt idx="3">
                  <c:v>2.4292043723788925</c:v>
                </c:pt>
                <c:pt idx="4">
                  <c:v>1.6272182398710289</c:v>
                </c:pt>
              </c:numCache>
            </c:numRef>
          </c:xVal>
          <c:yVal>
            <c:numRef>
              <c:f>'Smoke Point Datasheet'!$S$5:$S$9</c:f>
              <c:numCache>
                <c:formatCode>General</c:formatCode>
                <c:ptCount val="5"/>
                <c:pt idx="0">
                  <c:v>75.354798590478822</c:v>
                </c:pt>
                <c:pt idx="1">
                  <c:v>53.989152214468319</c:v>
                </c:pt>
                <c:pt idx="2">
                  <c:v>55.827057279071376</c:v>
                </c:pt>
                <c:pt idx="3">
                  <c:v>57.504493971454878</c:v>
                </c:pt>
                <c:pt idx="4">
                  <c:v>36.988530366890075</c:v>
                </c:pt>
              </c:numCache>
            </c:numRef>
          </c:yVal>
          <c:smooth val="0"/>
        </c:ser>
        <c:ser>
          <c:idx val="9"/>
          <c:order val="1"/>
          <c:tx>
            <c:v>Ethylene 0.76mm</c:v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'Smoke Point Datasheet'!$AB$10</c:f>
              <c:numCache>
                <c:formatCode>General</c:formatCode>
                <c:ptCount val="1"/>
                <c:pt idx="0">
                  <c:v>3.8937007882628185</c:v>
                </c:pt>
              </c:numCache>
            </c:numRef>
          </c:xVal>
          <c:yVal>
            <c:numRef>
              <c:f>'Smoke Point Datasheet'!$S$10</c:f>
              <c:numCache>
                <c:formatCode>General</c:formatCode>
                <c:ptCount val="1"/>
                <c:pt idx="0">
                  <c:v>105.22075589027845</c:v>
                </c:pt>
              </c:numCache>
            </c:numRef>
          </c:yVal>
          <c:smooth val="0"/>
        </c:ser>
        <c:ser>
          <c:idx val="1"/>
          <c:order val="2"/>
          <c:tx>
            <c:v>Propane 1.6mm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Datasheet'!$AB$11:$AB$13</c:f>
              <c:numCache>
                <c:formatCode>General</c:formatCode>
                <c:ptCount val="3"/>
                <c:pt idx="0">
                  <c:v>3.0252606995196496</c:v>
                </c:pt>
                <c:pt idx="1">
                  <c:v>2.5210505829330407</c:v>
                </c:pt>
                <c:pt idx="2">
                  <c:v>1.7976186765261684</c:v>
                </c:pt>
              </c:numCache>
            </c:numRef>
          </c:xVal>
          <c:yVal>
            <c:numRef>
              <c:f>'Smoke Point Datasheet'!$S$11:$S$13</c:f>
              <c:numCache>
                <c:formatCode>General</c:formatCode>
                <c:ptCount val="3"/>
                <c:pt idx="0">
                  <c:v>71.383567938857453</c:v>
                </c:pt>
                <c:pt idx="1">
                  <c:v>61.119455328205881</c:v>
                </c:pt>
                <c:pt idx="2">
                  <c:v>45.522586348649611</c:v>
                </c:pt>
              </c:numCache>
            </c:numRef>
          </c:yVal>
          <c:smooth val="0"/>
        </c:ser>
        <c:ser>
          <c:idx val="2"/>
          <c:order val="3"/>
          <c:tx>
            <c:v>Propane 0.76mm</c:v>
          </c:tx>
          <c:spPr>
            <a:ln w="28575">
              <a:noFill/>
            </a:ln>
          </c:spPr>
          <c:marker>
            <c:symbol val="square"/>
            <c:size val="8"/>
            <c:spPr>
              <a:solidFill>
                <a:srgbClr val="FFFFFF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Datasheet'!$AB$14:$AB$16</c:f>
              <c:numCache>
                <c:formatCode>General</c:formatCode>
                <c:ptCount val="3"/>
                <c:pt idx="0">
                  <c:v>3.8363813218546277</c:v>
                </c:pt>
                <c:pt idx="1">
                  <c:v>2.6306614778431729</c:v>
                </c:pt>
                <c:pt idx="2">
                  <c:v>2.2579844351487233</c:v>
                </c:pt>
              </c:numCache>
            </c:numRef>
          </c:xVal>
          <c:yVal>
            <c:numRef>
              <c:f>'Smoke Point Datasheet'!$S$14:$S$16</c:f>
              <c:numCache>
                <c:formatCode>General</c:formatCode>
                <c:ptCount val="3"/>
                <c:pt idx="0">
                  <c:v>105.45049402335384</c:v>
                </c:pt>
                <c:pt idx="1">
                  <c:v>75.584536723554208</c:v>
                </c:pt>
                <c:pt idx="2">
                  <c:v>64.327368202860498</c:v>
                </c:pt>
              </c:numCache>
            </c:numRef>
          </c:yVal>
          <c:smooth val="0"/>
        </c:ser>
        <c:ser>
          <c:idx val="3"/>
          <c:order val="4"/>
          <c:tx>
            <c:v>75% Propylene 1.6mm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Datasheet'!$AB$17:$AB$28</c:f>
              <c:numCache>
                <c:formatCode>General</c:formatCode>
                <c:ptCount val="12"/>
                <c:pt idx="0">
                  <c:v>1.9080639871685179</c:v>
                </c:pt>
                <c:pt idx="1">
                  <c:v>1.8824523900253165</c:v>
                </c:pt>
                <c:pt idx="2">
                  <c:v>1.4982784328772927</c:v>
                </c:pt>
                <c:pt idx="3">
                  <c:v>1.3446088500180831</c:v>
                </c:pt>
                <c:pt idx="4">
                  <c:v>1.0116580871564624</c:v>
                </c:pt>
                <c:pt idx="5">
                  <c:v>0.64028992858003952</c:v>
                </c:pt>
                <c:pt idx="6">
                  <c:v>0.62748413000843883</c:v>
                </c:pt>
                <c:pt idx="7">
                  <c:v>0.92201749715525694</c:v>
                </c:pt>
                <c:pt idx="8">
                  <c:v>0.66590152572324113</c:v>
                </c:pt>
                <c:pt idx="9">
                  <c:v>0.78115371286764834</c:v>
                </c:pt>
                <c:pt idx="10">
                  <c:v>1.9080639871685179</c:v>
                </c:pt>
                <c:pt idx="11">
                  <c:v>0.89640590001205533</c:v>
                </c:pt>
              </c:numCache>
            </c:numRef>
          </c:xVal>
          <c:yVal>
            <c:numRef>
              <c:f>'Smoke Point Datasheet'!$S$17:$S$26</c:f>
              <c:numCache>
                <c:formatCode>General</c:formatCode>
                <c:ptCount val="10"/>
                <c:pt idx="0">
                  <c:v>37.67774476611622</c:v>
                </c:pt>
                <c:pt idx="1">
                  <c:v>35.839839701513156</c:v>
                </c:pt>
                <c:pt idx="2">
                  <c:v>31.704553306156285</c:v>
                </c:pt>
                <c:pt idx="3">
                  <c:v>26.650314378497882</c:v>
                </c:pt>
                <c:pt idx="4">
                  <c:v>21.13659918468872</c:v>
                </c:pt>
                <c:pt idx="5">
                  <c:v>14.474193325502654</c:v>
                </c:pt>
                <c:pt idx="6">
                  <c:v>14.158540794131824</c:v>
                </c:pt>
                <c:pt idx="7">
                  <c:v>20.364052322316638</c:v>
                </c:pt>
                <c:pt idx="8">
                  <c:v>15.608727809261254</c:v>
                </c:pt>
                <c:pt idx="9">
                  <c:v>17.881738322287148</c:v>
                </c:pt>
              </c:numCache>
            </c:numRef>
          </c:yVal>
          <c:smooth val="0"/>
        </c:ser>
        <c:ser>
          <c:idx val="4"/>
          <c:order val="5"/>
          <c:tx>
            <c:v>75% Propylene 0.76mm</c:v>
          </c:tx>
          <c:spPr>
            <a:ln w="28575">
              <a:noFill/>
            </a:ln>
          </c:spPr>
          <c:marker>
            <c:symbol val="circle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Datasheet'!$AB$27:$AB$30</c:f>
              <c:numCache>
                <c:formatCode>General</c:formatCode>
                <c:ptCount val="4"/>
                <c:pt idx="0">
                  <c:v>1.9080639871685179</c:v>
                </c:pt>
                <c:pt idx="1">
                  <c:v>0.89640590001205533</c:v>
                </c:pt>
                <c:pt idx="2">
                  <c:v>0.87079430286885373</c:v>
                </c:pt>
                <c:pt idx="3">
                  <c:v>1.9977045771697235</c:v>
                </c:pt>
              </c:numCache>
            </c:numRef>
          </c:xVal>
          <c:yVal>
            <c:numRef>
              <c:f>'Smoke Point Datasheet'!$S$27:$S$30</c:f>
              <c:numCache>
                <c:formatCode>General</c:formatCode>
                <c:ptCount val="4"/>
                <c:pt idx="0">
                  <c:v>39.515649830719269</c:v>
                </c:pt>
                <c:pt idx="1">
                  <c:v>21.973157245733759</c:v>
                </c:pt>
                <c:pt idx="2">
                  <c:v>20.154748835313043</c:v>
                </c:pt>
                <c:pt idx="3">
                  <c:v>43.97615819320869</c:v>
                </c:pt>
              </c:numCache>
            </c:numRef>
          </c:yVal>
          <c:smooth val="0"/>
        </c:ser>
        <c:ser>
          <c:idx val="5"/>
          <c:order val="6"/>
          <c:tx>
            <c:v>50% Propylene 1.6mm</c:v>
          </c:tx>
          <c:spPr>
            <a:ln w="28575">
              <a:noFill/>
            </a:ln>
          </c:spPr>
          <c:marker>
            <c:symbol val="x"/>
            <c:size val="8"/>
            <c:spPr>
              <a:blipFill dpi="0" rotWithShape="0">
                <a:blip xmlns:r="http://schemas.openxmlformats.org/officeDocument/2006/relationships" r:embed="rId1"/>
                <a:srcRect/>
                <a:stretch>
                  <a:fillRect/>
                </a:stretch>
              </a:blipFill>
              <a:ln w="9525">
                <a:noFill/>
              </a:ln>
            </c:spPr>
          </c:marker>
          <c:xVal>
            <c:numRef>
              <c:f>'Smoke Point Datasheet'!$AB$31:$AB$37</c:f>
              <c:numCache>
                <c:formatCode>General</c:formatCode>
                <c:ptCount val="7"/>
                <c:pt idx="0">
                  <c:v>2.8846333510691733</c:v>
                </c:pt>
                <c:pt idx="1">
                  <c:v>2.1951356232526389</c:v>
                </c:pt>
                <c:pt idx="2">
                  <c:v>1.6182089530388044</c:v>
                </c:pt>
                <c:pt idx="3">
                  <c:v>2.1810642410523013</c:v>
                </c:pt>
                <c:pt idx="4">
                  <c:v>2.9127761154698479</c:v>
                </c:pt>
                <c:pt idx="5">
                  <c:v>3.292703434878959</c:v>
                </c:pt>
                <c:pt idx="6">
                  <c:v>1.4493523666347554</c:v>
                </c:pt>
              </c:numCache>
            </c:numRef>
          </c:xVal>
          <c:yVal>
            <c:numRef>
              <c:f>'Smoke Point Datasheet'!$S$31:$S$37</c:f>
              <c:numCache>
                <c:formatCode>General</c:formatCode>
                <c:ptCount val="7"/>
                <c:pt idx="0">
                  <c:v>41.72808115184219</c:v>
                </c:pt>
                <c:pt idx="1">
                  <c:v>32.501314628506648</c:v>
                </c:pt>
                <c:pt idx="2">
                  <c:v>26.515626471498351</c:v>
                </c:pt>
                <c:pt idx="3">
                  <c:v>33.41256921447696</c:v>
                </c:pt>
                <c:pt idx="4">
                  <c:v>42.378594780349147</c:v>
                </c:pt>
                <c:pt idx="5">
                  <c:v>49.505435614760387</c:v>
                </c:pt>
                <c:pt idx="6">
                  <c:v>22.121202289754166</c:v>
                </c:pt>
              </c:numCache>
            </c:numRef>
          </c:yVal>
          <c:smooth val="0"/>
        </c:ser>
        <c:ser>
          <c:idx val="6"/>
          <c:order val="7"/>
          <c:tx>
            <c:v>Propylene 1.6mm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chemeClr val="tx1"/>
              </a:solidFill>
              <a:ln>
                <a:noFill/>
                <a:prstDash val="solid"/>
              </a:ln>
            </c:spPr>
          </c:marker>
          <c:xVal>
            <c:numRef>
              <c:f>'Smoke Point Datasheet'!$AB$38:$AB$47</c:f>
              <c:numCache>
                <c:formatCode>General</c:formatCode>
                <c:ptCount val="10"/>
                <c:pt idx="0">
                  <c:v>1.0007392175206826</c:v>
                </c:pt>
                <c:pt idx="1">
                  <c:v>0.72672728891382921</c:v>
                </c:pt>
                <c:pt idx="2">
                  <c:v>0.54802385721370728</c:v>
                </c:pt>
                <c:pt idx="3">
                  <c:v>0.44080179819363408</c:v>
                </c:pt>
                <c:pt idx="4">
                  <c:v>0.57185098144039015</c:v>
                </c:pt>
                <c:pt idx="5">
                  <c:v>0.39314754974026822</c:v>
                </c:pt>
                <c:pt idx="6">
                  <c:v>0.7148137268004876</c:v>
                </c:pt>
                <c:pt idx="7">
                  <c:v>1.1675290871074633</c:v>
                </c:pt>
                <c:pt idx="8">
                  <c:v>0.96499853118065837</c:v>
                </c:pt>
                <c:pt idx="9">
                  <c:v>0.76246797525385346</c:v>
                </c:pt>
              </c:numCache>
            </c:numRef>
          </c:xVal>
          <c:yVal>
            <c:numRef>
              <c:f>'Smoke Point Datasheet'!$S$38:$S$47</c:f>
              <c:numCache>
                <c:formatCode>General</c:formatCode>
                <c:ptCount val="10"/>
                <c:pt idx="0">
                  <c:v>25.731627702244865</c:v>
                </c:pt>
                <c:pt idx="1">
                  <c:v>19.634050140212551</c:v>
                </c:pt>
                <c:pt idx="2">
                  <c:v>15.794834638192199</c:v>
                </c:pt>
                <c:pt idx="3">
                  <c:v>13.988144990182633</c:v>
                </c:pt>
                <c:pt idx="4">
                  <c:v>15.486779909668897</c:v>
                </c:pt>
                <c:pt idx="5">
                  <c:v>13.416820766403589</c:v>
                </c:pt>
                <c:pt idx="6">
                  <c:v>17.556739052934205</c:v>
                </c:pt>
                <c:pt idx="7">
                  <c:v>26.526562007083882</c:v>
                </c:pt>
                <c:pt idx="8">
                  <c:v>23.076630101641697</c:v>
                </c:pt>
                <c:pt idx="9">
                  <c:v>19.396702735836712</c:v>
                </c:pt>
              </c:numCache>
            </c:numRef>
          </c:yVal>
          <c:smooth val="0"/>
        </c:ser>
        <c:ser>
          <c:idx val="7"/>
          <c:order val="8"/>
          <c:tx>
            <c:v>Propylene 0.76mm</c:v>
          </c:tx>
          <c:spPr>
            <a:ln w="28575">
              <a:noFill/>
            </a:ln>
          </c:spPr>
          <c:marker>
            <c:symbol val="diamond"/>
            <c:size val="8"/>
            <c:spPr>
              <a:noFill/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'Smoke Point Datasheet'!$AB$48:$AB$55</c:f>
              <c:numCache>
                <c:formatCode>General</c:formatCode>
                <c:ptCount val="8"/>
                <c:pt idx="0">
                  <c:v>1.0007392175206826</c:v>
                </c:pt>
                <c:pt idx="1">
                  <c:v>0.8220357858205608</c:v>
                </c:pt>
                <c:pt idx="2">
                  <c:v>0.76246797525385346</c:v>
                </c:pt>
                <c:pt idx="3">
                  <c:v>0.73864085102717059</c:v>
                </c:pt>
                <c:pt idx="4">
                  <c:v>0.52419673298702429</c:v>
                </c:pt>
                <c:pt idx="5">
                  <c:v>1.3224053945809022</c:v>
                </c:pt>
                <c:pt idx="6">
                  <c:v>0.95308496906731688</c:v>
                </c:pt>
                <c:pt idx="7">
                  <c:v>0.48845604664699993</c:v>
                </c:pt>
              </c:numCache>
            </c:numRef>
          </c:xVal>
          <c:yVal>
            <c:numRef>
              <c:f>'Smoke Point Datasheet'!$S$48:$S$55</c:f>
              <c:numCache>
                <c:formatCode>General</c:formatCode>
                <c:ptCount val="8"/>
                <c:pt idx="0">
                  <c:v>26.634972526249655</c:v>
                </c:pt>
                <c:pt idx="1">
                  <c:v>22.795757024229317</c:v>
                </c:pt>
                <c:pt idx="2">
                  <c:v>21.666575994223322</c:v>
                </c:pt>
                <c:pt idx="3">
                  <c:v>21.926652799827636</c:v>
                </c:pt>
                <c:pt idx="4">
                  <c:v>15.946770830394527</c:v>
                </c:pt>
                <c:pt idx="5">
                  <c:v>31.816457595428545</c:v>
                </c:pt>
                <c:pt idx="6">
                  <c:v>26.296566546721067</c:v>
                </c:pt>
                <c:pt idx="7">
                  <c:v>14.213981196183823</c:v>
                </c:pt>
              </c:numCache>
            </c:numRef>
          </c:yVal>
          <c:smooth val="0"/>
        </c:ser>
        <c:ser>
          <c:idx val="8"/>
          <c:order val="9"/>
          <c:tx>
            <c:v>Propylene 0.41mm</c:v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777777"/>
              </a:solidFill>
              <a:ln w="9525">
                <a:noFill/>
              </a:ln>
            </c:spPr>
          </c:marker>
          <c:xVal>
            <c:numRef>
              <c:f>'Smoke Point Datasheet'!$AB$56:$AB$59</c:f>
              <c:numCache>
                <c:formatCode>General</c:formatCode>
                <c:ptCount val="4"/>
                <c:pt idx="0">
                  <c:v>1.6202444474144388</c:v>
                </c:pt>
                <c:pt idx="1">
                  <c:v>1.3462325188075852</c:v>
                </c:pt>
                <c:pt idx="2">
                  <c:v>1.7274665064345118</c:v>
                </c:pt>
                <c:pt idx="3">
                  <c:v>1.0960477144274146</c:v>
                </c:pt>
              </c:numCache>
            </c:numRef>
          </c:xVal>
          <c:yVal>
            <c:numRef>
              <c:f>'Smoke Point Datasheet'!$S$56:$S$59</c:f>
              <c:numCache>
                <c:formatCode>General</c:formatCode>
                <c:ptCount val="4"/>
                <c:pt idx="0">
                  <c:v>53.283644834390898</c:v>
                </c:pt>
                <c:pt idx="1">
                  <c:v>46.96023106635738</c:v>
                </c:pt>
                <c:pt idx="2">
                  <c:v>59.185917378603172</c:v>
                </c:pt>
                <c:pt idx="3">
                  <c:v>37.700946620308301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78016"/>
        <c:axId val="136280320"/>
      </c:scatterChart>
      <c:valAx>
        <c:axId val="13627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m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f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(mg/s)</a:t>
                </a:r>
              </a:p>
            </c:rich>
          </c:tx>
          <c:layout>
            <c:manualLayout>
              <c:xMode val="edge"/>
              <c:yMode val="edge"/>
              <c:x val="0.34517203107658156"/>
              <c:y val="0.900326797385620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in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280320"/>
        <c:crosses val="autoZero"/>
        <c:crossBetween val="midCat"/>
      </c:valAx>
      <c:valAx>
        <c:axId val="1362803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L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SP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(mm)</a:t>
                </a:r>
              </a:p>
            </c:rich>
          </c:tx>
          <c:layout>
            <c:manualLayout>
              <c:xMode val="edge"/>
              <c:yMode val="edge"/>
              <c:x val="2.2197558268590455E-3"/>
              <c:y val="0.346405228758169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278016"/>
        <c:crosses val="autoZero"/>
        <c:crossBetween val="midCat"/>
      </c:valAx>
      <c:spPr>
        <a:solidFill>
          <a:srgbClr val="FFFFFF"/>
        </a:solidFill>
        <a:ln w="31750">
          <a:solidFill>
            <a:schemeClr val="tx1"/>
          </a:solidFill>
          <a:prstDash val="solid"/>
        </a:ln>
      </c:spPr>
    </c:plotArea>
    <c:legend>
      <c:legendPos val="r"/>
      <c:legendEntry>
        <c:idx val="6"/>
        <c:txPr>
          <a:bodyPr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0.76137624861265263"/>
          <c:y val="0.32516339869281047"/>
          <c:w val="0.98224195338512765"/>
          <c:h val="0.58660130718954251"/>
        </c:manualLayout>
      </c:layout>
      <c:overlay val="0"/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12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2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2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120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2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29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29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523875</xdr:colOff>
      <xdr:row>30</xdr:row>
      <xdr:rowOff>19050</xdr:rowOff>
    </xdr:from>
    <xdr:to>
      <xdr:col>25</xdr:col>
      <xdr:colOff>590550</xdr:colOff>
      <xdr:row>35</xdr:row>
      <xdr:rowOff>9525</xdr:rowOff>
    </xdr:to>
    <xdr:grpSp>
      <xdr:nvGrpSpPr>
        <xdr:cNvPr id="12256" name="Group 102"/>
        <xdr:cNvGrpSpPr>
          <a:grpSpLocks/>
        </xdr:cNvGrpSpPr>
      </xdr:nvGrpSpPr>
      <xdr:grpSpPr bwMode="auto">
        <a:xfrm>
          <a:off x="14135100" y="5038725"/>
          <a:ext cx="971550" cy="800100"/>
          <a:chOff x="1664641" y="1311007"/>
          <a:chExt cx="978992" cy="799828"/>
        </a:xfrm>
      </xdr:grpSpPr>
      <xdr:sp macro="" textlink="">
        <xdr:nvSpPr>
          <xdr:cNvPr id="11367" name="Text Box 103"/>
          <xdr:cNvSpPr txBox="1">
            <a:spLocks noChangeAspect="1" noChangeArrowheads="1"/>
          </xdr:cNvSpPr>
        </xdr:nvSpPr>
        <xdr:spPr bwMode="auto">
          <a:xfrm>
            <a:off x="1751023" y="1825182"/>
            <a:ext cx="575878" cy="21900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18288" rIns="0" bIns="0" anchor="t" upright="1"/>
          <a:lstStyle/>
          <a:p>
            <a:pPr algn="l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50% C</a:t>
            </a:r>
            <a:r>
              <a:rPr lang="en-US" sz="900" b="0" i="0" u="none" strike="noStrike" baseline="-25000">
                <a:solidFill>
                  <a:srgbClr val="000000"/>
                </a:solidFill>
                <a:latin typeface="Arial"/>
                <a:cs typeface="Arial"/>
              </a:rPr>
              <a:t>3</a:t>
            </a: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900" b="0" i="0" u="none" strike="noStrike" baseline="-25000">
                <a:solidFill>
                  <a:srgbClr val="00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11368" name="Text Box 104"/>
          <xdr:cNvSpPr txBox="1">
            <a:spLocks noChangeAspect="1" noChangeArrowheads="1"/>
          </xdr:cNvSpPr>
        </xdr:nvSpPr>
        <xdr:spPr bwMode="auto">
          <a:xfrm>
            <a:off x="1751023" y="1501442"/>
            <a:ext cx="297537" cy="4094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</a:t>
            </a:r>
            <a:r>
              <a:rPr lang="en-US" sz="900" b="0" i="0" u="none" strike="noStrike" baseline="-25000">
                <a:solidFill>
                  <a:srgbClr val="000000"/>
                </a:solidFill>
                <a:latin typeface="Arial"/>
                <a:cs typeface="Arial"/>
              </a:rPr>
              <a:t>3</a:t>
            </a: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900" b="0" i="0" u="none" strike="noStrike" baseline="-25000">
                <a:solidFill>
                  <a:srgbClr val="000000"/>
                </a:solidFill>
                <a:latin typeface="Arial"/>
                <a:cs typeface="Arial"/>
              </a:rPr>
              <a:t>8</a:t>
            </a:r>
          </a:p>
        </xdr:txBody>
      </xdr:sp>
      <xdr:sp macro="" textlink="">
        <xdr:nvSpPr>
          <xdr:cNvPr id="11369" name="Text Box 105"/>
          <xdr:cNvSpPr txBox="1">
            <a:spLocks noChangeAspect="1" noChangeArrowheads="1"/>
          </xdr:cNvSpPr>
        </xdr:nvSpPr>
        <xdr:spPr bwMode="auto">
          <a:xfrm>
            <a:off x="1751023" y="1729965"/>
            <a:ext cx="547084" cy="180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75% C</a:t>
            </a:r>
            <a:r>
              <a:rPr lang="en-US" sz="900" b="0" i="0" u="none" strike="noStrike" baseline="-25000">
                <a:solidFill>
                  <a:srgbClr val="000000"/>
                </a:solidFill>
                <a:latin typeface="Arial"/>
                <a:cs typeface="Arial"/>
              </a:rPr>
              <a:t>3</a:t>
            </a: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900" b="0" i="0" u="none" strike="noStrike" baseline="-25000">
                <a:solidFill>
                  <a:srgbClr val="000000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11370" name="Text Box 106"/>
          <xdr:cNvSpPr txBox="1">
            <a:spLocks noChangeAspect="1" noChangeArrowheads="1"/>
          </xdr:cNvSpPr>
        </xdr:nvSpPr>
        <xdr:spPr bwMode="auto">
          <a:xfrm>
            <a:off x="2374890" y="1825182"/>
            <a:ext cx="201557" cy="28565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18288" rIns="0" bIns="0" anchor="t" upright="1"/>
          <a:lstStyle/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+</a:t>
            </a:r>
          </a:p>
        </xdr:txBody>
      </xdr:sp>
      <xdr:sp macro="" textlink="">
        <xdr:nvSpPr>
          <xdr:cNvPr id="12267" name="Line 107"/>
          <xdr:cNvSpPr>
            <a:spLocks noChangeAspect="1" noChangeShapeType="1"/>
          </xdr:cNvSpPr>
        </xdr:nvSpPr>
        <xdr:spPr bwMode="auto">
          <a:xfrm>
            <a:off x="1749369" y="1311007"/>
            <a:ext cx="79387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268" name="Line 108"/>
          <xdr:cNvSpPr>
            <a:spLocks noChangeAspect="1" noChangeShapeType="1"/>
          </xdr:cNvSpPr>
        </xdr:nvSpPr>
        <xdr:spPr bwMode="auto">
          <a:xfrm flipV="1">
            <a:off x="1749369" y="1429264"/>
            <a:ext cx="79387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269" name="Line 109"/>
          <xdr:cNvSpPr>
            <a:spLocks noChangeAspect="1" noChangeShapeType="1"/>
          </xdr:cNvSpPr>
        </xdr:nvSpPr>
        <xdr:spPr bwMode="auto">
          <a:xfrm>
            <a:off x="1749369" y="2008472"/>
            <a:ext cx="79387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374" name="Text Box 110"/>
          <xdr:cNvSpPr txBox="1">
            <a:spLocks noChangeAspect="1" noChangeArrowheads="1"/>
          </xdr:cNvSpPr>
        </xdr:nvSpPr>
        <xdr:spPr bwMode="auto">
          <a:xfrm>
            <a:off x="1664641" y="1311007"/>
            <a:ext cx="978992" cy="13330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d(mm)  0.41   0.76  1.6</a:t>
            </a:r>
          </a:p>
        </xdr:txBody>
      </xdr:sp>
      <xdr:sp macro="" textlink="">
        <xdr:nvSpPr>
          <xdr:cNvPr id="12271" name="AutoShape 111"/>
          <xdr:cNvSpPr>
            <a:spLocks noChangeArrowheads="1"/>
          </xdr:cNvSpPr>
        </xdr:nvSpPr>
        <xdr:spPr bwMode="auto">
          <a:xfrm>
            <a:off x="2427899" y="1452153"/>
            <a:ext cx="58383" cy="56586"/>
          </a:xfrm>
          <a:prstGeom prst="triangle">
            <a:avLst>
              <a:gd name="adj" fmla="val 50000"/>
            </a:avLst>
          </a:prstGeom>
          <a:solidFill>
            <a:srgbClr val="000000"/>
          </a:solidFill>
          <a:ln w="63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272" name="AutoShape 112"/>
          <xdr:cNvSpPr>
            <a:spLocks noChangeArrowheads="1"/>
          </xdr:cNvSpPr>
        </xdr:nvSpPr>
        <xdr:spPr bwMode="auto">
          <a:xfrm>
            <a:off x="2275532" y="1452153"/>
            <a:ext cx="59096" cy="56586"/>
          </a:xfrm>
          <a:prstGeom prst="triangle">
            <a:avLst>
              <a:gd name="adj" fmla="val 50000"/>
            </a:avLst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273" name="Rectangle 113"/>
          <xdr:cNvSpPr>
            <a:spLocks noChangeArrowheads="1"/>
          </xdr:cNvSpPr>
        </xdr:nvSpPr>
        <xdr:spPr bwMode="auto">
          <a:xfrm>
            <a:off x="2433595" y="1568503"/>
            <a:ext cx="51263" cy="46413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274" name="Rectangle 114"/>
          <xdr:cNvSpPr>
            <a:spLocks noChangeArrowheads="1"/>
          </xdr:cNvSpPr>
        </xdr:nvSpPr>
        <xdr:spPr bwMode="auto">
          <a:xfrm>
            <a:off x="2275532" y="1572318"/>
            <a:ext cx="49128" cy="47684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275" name="AutoShape 115"/>
          <xdr:cNvSpPr>
            <a:spLocks noChangeArrowheads="1"/>
          </xdr:cNvSpPr>
        </xdr:nvSpPr>
        <xdr:spPr bwMode="auto">
          <a:xfrm>
            <a:off x="2271972" y="1685489"/>
            <a:ext cx="68351" cy="68666"/>
          </a:xfrm>
          <a:prstGeom prst="diamond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276" name="AutoShape 116"/>
          <xdr:cNvSpPr>
            <a:spLocks noChangeArrowheads="1"/>
          </xdr:cNvSpPr>
        </xdr:nvSpPr>
        <xdr:spPr bwMode="auto">
          <a:xfrm>
            <a:off x="2427899" y="1686761"/>
            <a:ext cx="68351" cy="69301"/>
          </a:xfrm>
          <a:prstGeom prst="diamond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277" name="AutoShape 117"/>
          <xdr:cNvSpPr>
            <a:spLocks noChangeArrowheads="1"/>
          </xdr:cNvSpPr>
        </xdr:nvSpPr>
        <xdr:spPr bwMode="auto">
          <a:xfrm>
            <a:off x="2100382" y="1679767"/>
            <a:ext cx="68351" cy="67394"/>
          </a:xfrm>
          <a:prstGeom prst="diamond">
            <a:avLst/>
          </a:prstGeom>
          <a:solidFill>
            <a:srgbClr val="969696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278" name="Oval 118"/>
          <xdr:cNvSpPr>
            <a:spLocks noChangeArrowheads="1"/>
          </xdr:cNvSpPr>
        </xdr:nvSpPr>
        <xdr:spPr bwMode="auto">
          <a:xfrm>
            <a:off x="2275532" y="1803747"/>
            <a:ext cx="56960" cy="5785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279" name="Oval 119"/>
          <xdr:cNvSpPr>
            <a:spLocks noChangeArrowheads="1"/>
          </xdr:cNvSpPr>
        </xdr:nvSpPr>
        <xdr:spPr bwMode="auto">
          <a:xfrm>
            <a:off x="2440003" y="1812648"/>
            <a:ext cx="56247" cy="5658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384" name="Text Box 120"/>
          <xdr:cNvSpPr txBox="1">
            <a:spLocks noChangeAspect="1" noChangeArrowheads="1"/>
          </xdr:cNvSpPr>
        </xdr:nvSpPr>
        <xdr:spPr bwMode="auto">
          <a:xfrm>
            <a:off x="1751023" y="1387181"/>
            <a:ext cx="297537" cy="1809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9144" rIns="0" bIns="0" anchor="t" upright="1"/>
          <a:lstStyle/>
          <a:p>
            <a:pPr algn="l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</a:t>
            </a:r>
            <a:r>
              <a:rPr lang="en-US" sz="900" b="0" i="0" u="none" strike="noStrike" baseline="-25000">
                <a:solidFill>
                  <a:srgbClr val="000000"/>
                </a:solidFill>
                <a:latin typeface="Arial"/>
                <a:cs typeface="Arial"/>
              </a:rPr>
              <a:t>2</a:t>
            </a: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900" b="0" i="0" u="none" strike="noStrike" baseline="-25000">
                <a:solidFill>
                  <a:srgbClr val="000000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11385" name="Text Box 121"/>
          <xdr:cNvSpPr txBox="1">
            <a:spLocks noChangeAspect="1" noChangeArrowheads="1"/>
          </xdr:cNvSpPr>
        </xdr:nvSpPr>
        <xdr:spPr bwMode="auto">
          <a:xfrm>
            <a:off x="1751023" y="1606182"/>
            <a:ext cx="297537" cy="17139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</a:t>
            </a:r>
            <a:r>
              <a:rPr lang="en-US" sz="900" b="0" i="0" u="none" strike="noStrike" baseline="-25000">
                <a:solidFill>
                  <a:srgbClr val="000000"/>
                </a:solidFill>
                <a:latin typeface="Arial"/>
                <a:cs typeface="Arial"/>
              </a:rPr>
              <a:t>3</a:t>
            </a:r>
            <a:r>
              <a:rPr lang="en-US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</a:t>
            </a:r>
            <a:r>
              <a:rPr lang="en-US" sz="900" b="0" i="0" u="none" strike="noStrike" baseline="-25000">
                <a:solidFill>
                  <a:srgbClr val="000000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twoCellAnchor>
  <xdr:twoCellAnchor>
    <xdr:from>
      <xdr:col>25</xdr:col>
      <xdr:colOff>628650</xdr:colOff>
      <xdr:row>37</xdr:row>
      <xdr:rowOff>28575</xdr:rowOff>
    </xdr:from>
    <xdr:to>
      <xdr:col>29</xdr:col>
      <xdr:colOff>247650</xdr:colOff>
      <xdr:row>67</xdr:row>
      <xdr:rowOff>19050</xdr:rowOff>
    </xdr:to>
    <xdr:graphicFrame macro="">
      <xdr:nvGraphicFramePr>
        <xdr:cNvPr id="12257" name="Chart 1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50</xdr:col>
      <xdr:colOff>361950</xdr:colOff>
      <xdr:row>7</xdr:row>
      <xdr:rowOff>57150</xdr:rowOff>
    </xdr:from>
    <xdr:to>
      <xdr:col>55</xdr:col>
      <xdr:colOff>295275</xdr:colOff>
      <xdr:row>28</xdr:row>
      <xdr:rowOff>57150</xdr:rowOff>
    </xdr:to>
    <xdr:graphicFrame macro="">
      <xdr:nvGraphicFramePr>
        <xdr:cNvPr id="12258" name="Chart 1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0</xdr:colOff>
      <xdr:row>40</xdr:row>
      <xdr:rowOff>57150</xdr:rowOff>
    </xdr:from>
    <xdr:to>
      <xdr:col>59</xdr:col>
      <xdr:colOff>381000</xdr:colOff>
      <xdr:row>63</xdr:row>
      <xdr:rowOff>0</xdr:rowOff>
    </xdr:to>
    <xdr:graphicFrame macro="">
      <xdr:nvGraphicFramePr>
        <xdr:cNvPr id="12259" name="Chart 1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276225</xdr:colOff>
      <xdr:row>29</xdr:row>
      <xdr:rowOff>19050</xdr:rowOff>
    </xdr:from>
    <xdr:to>
      <xdr:col>55</xdr:col>
      <xdr:colOff>209550</xdr:colOff>
      <xdr:row>50</xdr:row>
      <xdr:rowOff>19050</xdr:rowOff>
    </xdr:to>
    <xdr:graphicFrame macro="">
      <xdr:nvGraphicFramePr>
        <xdr:cNvPr id="12260" name="Chart 1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447675</xdr:colOff>
      <xdr:row>50</xdr:row>
      <xdr:rowOff>152400</xdr:rowOff>
    </xdr:from>
    <xdr:to>
      <xdr:col>55</xdr:col>
      <xdr:colOff>371475</xdr:colOff>
      <xdr:row>71</xdr:row>
      <xdr:rowOff>152400</xdr:rowOff>
    </xdr:to>
    <xdr:graphicFrame macro="">
      <xdr:nvGraphicFramePr>
        <xdr:cNvPr id="12261" name="Chart 1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409575</xdr:colOff>
      <xdr:row>73</xdr:row>
      <xdr:rowOff>66675</xdr:rowOff>
    </xdr:from>
    <xdr:to>
      <xdr:col>55</xdr:col>
      <xdr:colOff>342900</xdr:colOff>
      <xdr:row>94</xdr:row>
      <xdr:rowOff>66675</xdr:rowOff>
    </xdr:to>
    <xdr:graphicFrame macro="">
      <xdr:nvGraphicFramePr>
        <xdr:cNvPr id="12262" name="Chart 1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0.37224</cdr:x>
      <cdr:y>0.07411</cdr:y>
    </cdr:from>
    <cdr:to>
      <cdr:x>0.73681</cdr:x>
      <cdr:y>0.19415</cdr:y>
    </cdr:to>
    <cdr:sp macro="" textlink="">
      <cdr:nvSpPr>
        <cdr:cNvPr id="30003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86397" y="336417"/>
          <a:ext cx="1430501" cy="4020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For Various Fuels</a:t>
          </a:r>
        </a:p>
        <a:p xmlns:a="http://schemas.openxmlformats.org/drawingml/2006/main"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from Kent (1986)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293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0.018</cdr:x>
      <cdr:y>0.0015</cdr:y>
    </cdr:to>
    <cdr:sp macro="" textlink="">
      <cdr:nvSpPr>
        <cdr:cNvPr id="179201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0" y="0"/>
          <a:ext cx="154476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65116" cy="582427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0.03025</cdr:x>
      <cdr:y>0.0015</cdr:y>
    </cdr:to>
    <cdr:sp macro="" textlink="">
      <cdr:nvSpPr>
        <cdr:cNvPr id="3095" name="Line 2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0" y="0"/>
          <a:ext cx="259606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293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0.03025</cdr:x>
      <cdr:y>0.0015</cdr:y>
    </cdr:to>
    <cdr:sp macro="" textlink="">
      <cdr:nvSpPr>
        <cdr:cNvPr id="3095" name="Line 2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0" y="0"/>
          <a:ext cx="259606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293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0.03175</cdr:x>
      <cdr:y>0.0015</cdr:y>
    </cdr:to>
    <cdr:sp macro="" textlink="">
      <cdr:nvSpPr>
        <cdr:cNvPr id="50179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0" y="0"/>
          <a:ext cx="272479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293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0.36375</cdr:x>
      <cdr:y>0.32375</cdr:y>
    </cdr:from>
    <cdr:to>
      <cdr:x>0.3985</cdr:x>
      <cdr:y>0.32525</cdr:y>
    </cdr:to>
    <cdr:sp macro="" textlink="" fLocksText="0">
      <cdr:nvSpPr>
        <cdr:cNvPr id="532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121712" y="1887236"/>
          <a:ext cx="298225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969696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0.36375</cdr:x>
      <cdr:y>0.22125</cdr:y>
    </cdr:from>
    <cdr:to>
      <cdr:x>0.3985</cdr:x>
      <cdr:y>0.222</cdr:y>
    </cdr:to>
    <cdr:sp macro="" textlink="">
      <cdr:nvSpPr>
        <cdr:cNvPr id="532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121712" y="1289733"/>
          <a:ext cx="298225" cy="437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</cdr:x>
      <cdr:y>0</cdr:y>
    </cdr:from>
    <cdr:to>
      <cdr:x>0.02825</cdr:x>
      <cdr:y>0.0015</cdr:y>
    </cdr:to>
    <cdr:sp macro="" textlink="">
      <cdr:nvSpPr>
        <cdr:cNvPr id="532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0" y="0"/>
          <a:ext cx="242442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0.36375</cdr:x>
      <cdr:y>0.17025</cdr:y>
    </cdr:from>
    <cdr:to>
      <cdr:x>0.403</cdr:x>
      <cdr:y>0.17175</cdr:y>
    </cdr:to>
    <cdr:sp macro="" textlink="">
      <cdr:nvSpPr>
        <cdr:cNvPr id="532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121712" y="992438"/>
          <a:ext cx="336844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317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0.36375</cdr:x>
      <cdr:y>0.2985</cdr:y>
    </cdr:from>
    <cdr:to>
      <cdr:x>0.3985</cdr:x>
      <cdr:y>0.3</cdr:y>
    </cdr:to>
    <cdr:sp macro="" textlink="">
      <cdr:nvSpPr>
        <cdr:cNvPr id="532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121712" y="1740046"/>
          <a:ext cx="298225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317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0.36375</cdr:x>
      <cdr:y>0.27175</cdr:y>
    </cdr:from>
    <cdr:to>
      <cdr:x>0.3985</cdr:x>
      <cdr:y>0.27175</cdr:y>
    </cdr:to>
    <cdr:sp macro="" textlink="">
      <cdr:nvSpPr>
        <cdr:cNvPr id="532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21712" y="1584112"/>
          <a:ext cx="29822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0.36375</cdr:x>
      <cdr:y>0.197</cdr:y>
    </cdr:from>
    <cdr:to>
      <cdr:x>0.3985</cdr:x>
      <cdr:y>0.197</cdr:y>
    </cdr:to>
    <cdr:sp macro="" textlink="">
      <cdr:nvSpPr>
        <cdr:cNvPr id="532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21712" y="1148372"/>
          <a:ext cx="29822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0.36375</cdr:x>
      <cdr:y>0.097</cdr:y>
    </cdr:from>
    <cdr:to>
      <cdr:x>0.3985</cdr:x>
      <cdr:y>0.097</cdr:y>
    </cdr:to>
    <cdr:sp macro="" textlink="">
      <cdr:nvSpPr>
        <cdr:cNvPr id="532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21712" y="565442"/>
          <a:ext cx="29822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0.36375</cdr:x>
      <cdr:y>0.14725</cdr:y>
    </cdr:from>
    <cdr:to>
      <cdr:x>0.3985</cdr:x>
      <cdr:y>0.14725</cdr:y>
    </cdr:to>
    <cdr:sp macro="" textlink="">
      <cdr:nvSpPr>
        <cdr:cNvPr id="532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21712" y="858364"/>
          <a:ext cx="29822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0.36375</cdr:x>
      <cdr:y>0.2465</cdr:y>
    </cdr:from>
    <cdr:to>
      <cdr:x>0.3985</cdr:x>
      <cdr:y>0.2465</cdr:y>
    </cdr:to>
    <cdr:sp macro="" textlink="">
      <cdr:nvSpPr>
        <cdr:cNvPr id="53258" name="Line 10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21712" y="1436922"/>
          <a:ext cx="298225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293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0.03175</cdr:x>
      <cdr:y>0.0015</cdr:y>
    </cdr:to>
    <cdr:sp macro="" textlink="">
      <cdr:nvSpPr>
        <cdr:cNvPr id="46083" name="Line 102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0" y="0"/>
          <a:ext cx="272479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0.8795</cdr:x>
      <cdr:y>0.48125</cdr:y>
    </cdr:from>
    <cdr:to>
      <cdr:x>0.891</cdr:x>
      <cdr:y>0.4975</cdr:y>
    </cdr:to>
    <cdr:sp macro="" textlink="">
      <cdr:nvSpPr>
        <cdr:cNvPr id="46097" name="AutoShape 104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 flipV="1">
          <a:off x="7547891" y="2805351"/>
          <a:ext cx="98693" cy="94726"/>
        </a:xfrm>
        <a:prstGeom xmlns:a="http://schemas.openxmlformats.org/drawingml/2006/main" prst="triangle">
          <a:avLst>
            <a:gd name="adj" fmla="val 50000"/>
          </a:avLst>
        </a:prstGeom>
        <a:solidFill xmlns:a="http://schemas.openxmlformats.org/drawingml/2006/main">
          <a:srgbClr val="000000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</cdr:x>
      <cdr:y>0</cdr:y>
    </cdr:from>
    <cdr:to>
      <cdr:x>0.01125</cdr:x>
      <cdr:y>0.0165</cdr:y>
    </cdr:to>
    <cdr:sp macro="" textlink="">
      <cdr:nvSpPr>
        <cdr:cNvPr id="46098" name="AutoShape 104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 flipV="1">
          <a:off x="0" y="0"/>
          <a:ext cx="96548" cy="96183"/>
        </a:xfrm>
        <a:prstGeom xmlns:a="http://schemas.openxmlformats.org/drawingml/2006/main" prst="triangle">
          <a:avLst>
            <a:gd name="adj" fmla="val 50000"/>
          </a:avLst>
        </a:prstGeom>
        <a:solidFill xmlns:a="http://schemas.openxmlformats.org/drawingml/2006/main">
          <a:srgbClr val="000000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293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0.0285</cdr:x>
      <cdr:y>0.0015</cdr:y>
    </cdr:to>
    <cdr:sp macro="" textlink="">
      <cdr:nvSpPr>
        <cdr:cNvPr id="55297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0" y="0"/>
          <a:ext cx="244588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293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0.0325</cdr:x>
      <cdr:y>0.0015</cdr:y>
    </cdr:to>
    <cdr:sp macro="" textlink="">
      <cdr:nvSpPr>
        <cdr:cNvPr id="98305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0" y="0"/>
          <a:ext cx="278916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152400" y="47625"/>
    <xdr:ext cx="8115300" cy="546735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0.03025</cdr:x>
      <cdr:y>0.0015</cdr:y>
    </cdr:to>
    <cdr:sp macro="" textlink="">
      <cdr:nvSpPr>
        <cdr:cNvPr id="107521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0" y="0"/>
          <a:ext cx="259606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293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0.03025</cdr:x>
      <cdr:y>0.0015</cdr:y>
    </cdr:to>
    <cdr:sp macro="" textlink="">
      <cdr:nvSpPr>
        <cdr:cNvPr id="4301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0" y="0"/>
          <a:ext cx="259606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293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0.03225</cdr:x>
      <cdr:y>0.0015</cdr:y>
    </cdr:to>
    <cdr:sp macro="" textlink="">
      <cdr:nvSpPr>
        <cdr:cNvPr id="117761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0" y="0"/>
          <a:ext cx="276770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293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0.03025</cdr:x>
      <cdr:y>0.0015</cdr:y>
    </cdr:to>
    <cdr:sp macro="" textlink="">
      <cdr:nvSpPr>
        <cdr:cNvPr id="96257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0" y="0"/>
          <a:ext cx="259606" cy="87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lgDash"/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10"/>
  <sheetViews>
    <sheetView topLeftCell="M2" zoomScaleNormal="100" workbookViewId="0">
      <selection activeCell="N5" sqref="N5"/>
    </sheetView>
  </sheetViews>
  <sheetFormatPr defaultColWidth="9.109375" defaultRowHeight="13.2"/>
  <cols>
    <col min="1" max="1" width="9.109375" style="213"/>
    <col min="2" max="2" width="8.109375" style="116" bestFit="1" customWidth="1"/>
    <col min="3" max="3" width="10" style="116" bestFit="1" customWidth="1"/>
    <col min="4" max="4" width="8.109375" style="204" bestFit="1" customWidth="1"/>
    <col min="5" max="5" width="4.5546875" style="171" bestFit="1" customWidth="1"/>
    <col min="6" max="6" width="8.88671875" style="171" bestFit="1" customWidth="1"/>
    <col min="7" max="7" width="14.6640625" style="171" bestFit="1" customWidth="1"/>
    <col min="8" max="8" width="9" style="171" bestFit="1" customWidth="1"/>
    <col min="9" max="9" width="8.88671875" style="171" bestFit="1" customWidth="1"/>
    <col min="10" max="10" width="9" style="171" bestFit="1" customWidth="1"/>
    <col min="11" max="11" width="6.109375" bestFit="1" customWidth="1"/>
    <col min="12" max="12" width="9" style="171" bestFit="1" customWidth="1"/>
    <col min="13" max="13" width="7.6640625" style="171" customWidth="1"/>
    <col min="14" max="14" width="8.5546875" style="171" bestFit="1" customWidth="1"/>
    <col min="15" max="15" width="6.6640625" style="171" customWidth="1"/>
    <col min="16" max="16" width="5" style="171" bestFit="1" customWidth="1"/>
    <col min="17" max="17" width="5.33203125" style="171" bestFit="1" customWidth="1"/>
    <col min="18" max="18" width="10.6640625" style="171" bestFit="1" customWidth="1"/>
    <col min="19" max="21" width="8" style="171" customWidth="1"/>
    <col min="22" max="23" width="10.88671875" style="171" customWidth="1"/>
    <col min="24" max="24" width="8.88671875" style="171" bestFit="1" customWidth="1"/>
    <col min="25" max="25" width="13.5546875" style="171" customWidth="1"/>
    <col min="26" max="26" width="14.109375" style="171" customWidth="1"/>
    <col min="27" max="27" width="12.88671875" style="171" customWidth="1"/>
    <col min="28" max="28" width="12" style="215" customWidth="1"/>
    <col min="29" max="29" width="9.5546875" style="171" customWidth="1"/>
    <col min="30" max="30" width="6.5546875" style="171" customWidth="1"/>
    <col min="31" max="31" width="7" style="171" customWidth="1"/>
    <col min="32" max="32" width="8" style="171" customWidth="1"/>
    <col min="33" max="33" width="11.33203125" style="171" customWidth="1"/>
    <col min="34" max="34" width="13.33203125" style="171" customWidth="1"/>
    <col min="35" max="38" width="14.6640625" style="171" customWidth="1"/>
    <col min="39" max="39" width="9.109375" style="171" bestFit="1" customWidth="1"/>
    <col min="40" max="40" width="9.33203125" style="171" bestFit="1" customWidth="1"/>
    <col min="41" max="41" width="13.6640625" style="174" bestFit="1" customWidth="1"/>
    <col min="42" max="42" width="12" style="171" customWidth="1"/>
    <col min="43" max="43" width="9.44140625" style="262" bestFit="1" customWidth="1"/>
    <col min="44" max="44" width="13.88671875" style="263" bestFit="1" customWidth="1"/>
    <col min="45" max="45" width="13.33203125" style="263" bestFit="1" customWidth="1"/>
    <col min="46" max="46" width="9.33203125" style="263" bestFit="1" customWidth="1"/>
    <col min="47" max="49" width="9.109375" style="263"/>
    <col min="50" max="52" width="9.33203125" style="263" bestFit="1" customWidth="1"/>
    <col min="53" max="16384" width="9.109375" style="116"/>
  </cols>
  <sheetData>
    <row r="1" spans="1:66">
      <c r="A1" s="214" t="s">
        <v>39</v>
      </c>
      <c r="B1" s="172"/>
      <c r="C1" s="210"/>
      <c r="D1" s="211"/>
      <c r="E1" s="211"/>
      <c r="F1" s="211"/>
      <c r="G1" s="172"/>
      <c r="H1" s="214"/>
      <c r="BD1" s="171"/>
      <c r="BE1" s="171"/>
      <c r="BF1" s="171"/>
      <c r="BG1" s="171"/>
      <c r="BH1" s="171"/>
    </row>
    <row r="2" spans="1:66">
      <c r="B2" s="172"/>
      <c r="C2" s="210"/>
      <c r="D2" s="212"/>
      <c r="G2" s="172"/>
      <c r="AO2" s="174">
        <v>1500</v>
      </c>
      <c r="AP2" s="122"/>
      <c r="AR2" s="274" t="s">
        <v>223</v>
      </c>
      <c r="AS2" s="274"/>
      <c r="AT2" s="274"/>
      <c r="AU2" s="274"/>
      <c r="AV2" s="274"/>
      <c r="AW2" s="274"/>
      <c r="AX2" s="274"/>
      <c r="AY2" s="274"/>
      <c r="AZ2" s="274"/>
      <c r="BA2" s="274"/>
      <c r="BB2" s="274"/>
      <c r="BD2" s="171"/>
      <c r="BE2" s="171"/>
      <c r="BF2" s="171"/>
      <c r="BG2" s="171"/>
      <c r="BH2" s="171"/>
    </row>
    <row r="3" spans="1:66" ht="26.4">
      <c r="A3" s="235" t="s">
        <v>206</v>
      </c>
      <c r="B3" s="236" t="s">
        <v>206</v>
      </c>
      <c r="C3" s="236" t="s">
        <v>206</v>
      </c>
      <c r="D3" s="237" t="s">
        <v>206</v>
      </c>
      <c r="E3" s="238" t="s">
        <v>44</v>
      </c>
      <c r="F3" s="238" t="s">
        <v>154</v>
      </c>
      <c r="G3" s="238" t="s">
        <v>4</v>
      </c>
      <c r="H3" s="239" t="s">
        <v>45</v>
      </c>
      <c r="I3" s="239" t="s">
        <v>35</v>
      </c>
      <c r="J3" s="256" t="s">
        <v>211</v>
      </c>
      <c r="K3" s="256" t="s">
        <v>152</v>
      </c>
      <c r="L3" s="256" t="s">
        <v>212</v>
      </c>
      <c r="M3" s="239" t="s">
        <v>4</v>
      </c>
      <c r="N3" s="239" t="s">
        <v>46</v>
      </c>
      <c r="O3" s="239" t="s">
        <v>47</v>
      </c>
      <c r="P3" s="239" t="s">
        <v>48</v>
      </c>
      <c r="Q3" s="240" t="s">
        <v>49</v>
      </c>
      <c r="R3" s="241" t="s">
        <v>81</v>
      </c>
      <c r="S3" s="239" t="s">
        <v>213</v>
      </c>
      <c r="T3" s="241" t="s">
        <v>81</v>
      </c>
      <c r="U3" s="239" t="s">
        <v>222</v>
      </c>
      <c r="V3" s="239" t="s">
        <v>234</v>
      </c>
      <c r="W3" s="239" t="s">
        <v>123</v>
      </c>
      <c r="X3" s="239" t="s">
        <v>77</v>
      </c>
      <c r="Y3" s="239" t="s">
        <v>144</v>
      </c>
      <c r="Z3" s="242" t="s">
        <v>73</v>
      </c>
      <c r="AA3" s="239" t="s">
        <v>74</v>
      </c>
      <c r="AB3" s="242" t="s">
        <v>216</v>
      </c>
      <c r="AC3" s="239" t="s">
        <v>217</v>
      </c>
      <c r="AD3" s="239" t="s">
        <v>214</v>
      </c>
      <c r="AE3" s="239" t="s">
        <v>215</v>
      </c>
      <c r="AF3" s="239" t="s">
        <v>218</v>
      </c>
      <c r="AG3" s="239" t="s">
        <v>219</v>
      </c>
      <c r="AH3" s="239" t="s">
        <v>118</v>
      </c>
      <c r="AI3" s="239" t="s">
        <v>118</v>
      </c>
      <c r="AJ3" s="239" t="s">
        <v>118</v>
      </c>
      <c r="AK3" s="239" t="s">
        <v>122</v>
      </c>
      <c r="AL3" s="239" t="s">
        <v>122</v>
      </c>
      <c r="AM3" s="239" t="s">
        <v>127</v>
      </c>
      <c r="AN3" s="239" t="s">
        <v>124</v>
      </c>
      <c r="AO3" s="243" t="s">
        <v>151</v>
      </c>
      <c r="AP3" s="122"/>
      <c r="AQ3" s="262" t="s">
        <v>237</v>
      </c>
      <c r="AR3" s="264" t="s">
        <v>232</v>
      </c>
      <c r="AS3" s="264" t="s">
        <v>233</v>
      </c>
      <c r="AT3" s="264" t="s">
        <v>130</v>
      </c>
      <c r="AU3" s="264" t="s">
        <v>235</v>
      </c>
      <c r="AV3" s="264"/>
      <c r="AW3" s="264"/>
      <c r="AX3" s="265" t="s">
        <v>128</v>
      </c>
      <c r="AY3" s="266" t="s">
        <v>129</v>
      </c>
      <c r="AZ3" s="266" t="s">
        <v>132</v>
      </c>
      <c r="BA3" s="122"/>
      <c r="BB3" s="122"/>
      <c r="BD3" s="244"/>
      <c r="BE3" s="244"/>
      <c r="BF3" s="244"/>
      <c r="BG3" s="244"/>
      <c r="BH3" s="244"/>
      <c r="BI3" s="245"/>
      <c r="BJ3" s="245"/>
      <c r="BK3" s="245"/>
      <c r="BL3" s="245"/>
      <c r="BM3" s="245"/>
      <c r="BN3" s="245"/>
    </row>
    <row r="4" spans="1:66">
      <c r="A4" s="225" t="s">
        <v>205</v>
      </c>
      <c r="B4" s="226" t="s">
        <v>207</v>
      </c>
      <c r="C4" s="226" t="s">
        <v>208</v>
      </c>
      <c r="D4" s="227" t="s">
        <v>209</v>
      </c>
      <c r="E4" s="228"/>
      <c r="F4" s="228" t="s">
        <v>155</v>
      </c>
      <c r="G4" s="228"/>
      <c r="H4" s="229" t="s">
        <v>55</v>
      </c>
      <c r="I4" s="229" t="s">
        <v>56</v>
      </c>
      <c r="J4" s="257" t="s">
        <v>153</v>
      </c>
      <c r="K4" s="257" t="s">
        <v>153</v>
      </c>
      <c r="L4" s="229"/>
      <c r="M4" s="229" t="s">
        <v>57</v>
      </c>
      <c r="N4" s="229" t="s">
        <v>57</v>
      </c>
      <c r="O4" s="229"/>
      <c r="P4" s="229"/>
      <c r="Q4" s="229"/>
      <c r="R4" s="230" t="s">
        <v>220</v>
      </c>
      <c r="S4" s="229" t="s">
        <v>58</v>
      </c>
      <c r="T4" s="230" t="s">
        <v>221</v>
      </c>
      <c r="U4" s="229" t="s">
        <v>58</v>
      </c>
      <c r="V4" s="229" t="s">
        <v>101</v>
      </c>
      <c r="W4" s="229" t="s">
        <v>99</v>
      </c>
      <c r="X4" s="229" t="s">
        <v>134</v>
      </c>
      <c r="Y4" s="229" t="s">
        <v>131</v>
      </c>
      <c r="Z4" s="231" t="s">
        <v>59</v>
      </c>
      <c r="AA4" s="229" t="s">
        <v>59</v>
      </c>
      <c r="AB4" s="231" t="s">
        <v>60</v>
      </c>
      <c r="AC4" s="229" t="s">
        <v>60</v>
      </c>
      <c r="AD4" s="229" t="s">
        <v>61</v>
      </c>
      <c r="AE4" s="229" t="s">
        <v>61</v>
      </c>
      <c r="AF4" s="229" t="s">
        <v>61</v>
      </c>
      <c r="AG4" s="229"/>
      <c r="AH4" s="229" t="s">
        <v>119</v>
      </c>
      <c r="AI4" s="229" t="s">
        <v>126</v>
      </c>
      <c r="AJ4" s="229" t="s">
        <v>120</v>
      </c>
      <c r="AK4" s="229" t="s">
        <v>119</v>
      </c>
      <c r="AL4" s="229" t="s">
        <v>126</v>
      </c>
      <c r="AM4" s="229"/>
      <c r="AN4" s="232"/>
      <c r="AO4" s="233" t="s">
        <v>150</v>
      </c>
      <c r="AR4" s="267" t="s">
        <v>131</v>
      </c>
      <c r="AS4" s="267" t="s">
        <v>135</v>
      </c>
      <c r="AT4" s="267" t="s">
        <v>236</v>
      </c>
      <c r="AU4" s="267" t="s">
        <v>236</v>
      </c>
      <c r="AV4" s="267"/>
      <c r="AW4" s="267"/>
      <c r="AX4" s="268" t="s">
        <v>236</v>
      </c>
      <c r="AY4" s="269" t="s">
        <v>236</v>
      </c>
      <c r="AZ4" s="269"/>
      <c r="BA4" s="171"/>
      <c r="BB4" s="171"/>
      <c r="BD4" s="232"/>
      <c r="BE4" s="232"/>
      <c r="BF4" s="232" t="s">
        <v>148</v>
      </c>
      <c r="BG4" s="232" t="s">
        <v>138</v>
      </c>
      <c r="BH4" s="232" t="s">
        <v>139</v>
      </c>
      <c r="BI4" s="234" t="s">
        <v>127</v>
      </c>
      <c r="BJ4" s="234"/>
      <c r="BK4" s="234"/>
      <c r="BL4" s="234"/>
      <c r="BM4" s="234"/>
      <c r="BN4" s="234"/>
    </row>
    <row r="5" spans="1:66" s="118" customFormat="1">
      <c r="A5" s="176">
        <v>45</v>
      </c>
      <c r="B5" s="69">
        <v>0.62526620370370367</v>
      </c>
      <c r="C5" s="69">
        <v>0.62822916666666673</v>
      </c>
      <c r="D5" s="69">
        <v>0.62725694444444446</v>
      </c>
      <c r="E5" s="173">
        <v>3</v>
      </c>
      <c r="F5" s="173" t="s">
        <v>156</v>
      </c>
      <c r="G5" s="170" t="s">
        <v>9</v>
      </c>
      <c r="H5" s="177">
        <v>1.6002000000000001</v>
      </c>
      <c r="I5" s="170">
        <v>101325</v>
      </c>
      <c r="J5" s="218">
        <v>28.05</v>
      </c>
      <c r="K5" s="218">
        <v>28.05</v>
      </c>
      <c r="L5" s="224">
        <v>1</v>
      </c>
      <c r="M5" s="118">
        <v>285</v>
      </c>
      <c r="N5" s="118">
        <v>68</v>
      </c>
      <c r="O5" s="118">
        <v>141</v>
      </c>
      <c r="P5" s="118">
        <v>4.0999999999999996</v>
      </c>
      <c r="R5" s="118">
        <v>193</v>
      </c>
      <c r="S5" s="118">
        <f>R5*Reference!$B$23+Reference!$B$24</f>
        <v>75.354798590478822</v>
      </c>
      <c r="T5" s="118">
        <v>28</v>
      </c>
      <c r="U5" s="118">
        <f>T5*-Reference!$B$23</f>
        <v>6.4326677261106893</v>
      </c>
      <c r="V5" s="178">
        <f>Reference!$L$20</f>
        <v>1162.2987427650205</v>
      </c>
      <c r="W5" s="178">
        <v>2367.4</v>
      </c>
      <c r="X5" s="123">
        <f>Reference!$W$20</f>
        <v>5.0085999999999999E-2</v>
      </c>
      <c r="Y5" s="123">
        <f>(20*10^-6)*(600/298)^(1.67)</f>
        <v>6.4357834526886323E-5</v>
      </c>
      <c r="Z5" s="118">
        <f>M5*Reference!$L$5</f>
        <v>171</v>
      </c>
      <c r="AA5" s="118">
        <f t="shared" ref="AA5:AA16" si="0">Z5</f>
        <v>171</v>
      </c>
      <c r="AB5" s="118">
        <f>Z5*Reference!$L$20/(60*10^3)</f>
        <v>3.3125514168803085</v>
      </c>
      <c r="AC5" s="118">
        <f t="shared" ref="AC5:AC16" si="1">AB5</f>
        <v>3.3125514168803085</v>
      </c>
      <c r="AD5" s="118">
        <f>N5*Reference!$F$10+Reference!$F$11</f>
        <v>58.016276553281713</v>
      </c>
      <c r="AE5" s="118">
        <f t="shared" ref="AE5:AE36" si="2">(Z5/(PI()/4*((H5/10)^2)*60))</f>
        <v>141.71194099172226</v>
      </c>
      <c r="AF5" s="118">
        <f>AE5*2</f>
        <v>283.42388198344452</v>
      </c>
      <c r="AG5" s="118">
        <f>AD5/(2*AE5)</f>
        <v>0.20469791094270096</v>
      </c>
      <c r="AH5" s="224">
        <f>(AE5/100)*Reference!$L$20*(H5/1000)/(Reference!$W$20)</f>
        <v>52.623791015717202</v>
      </c>
      <c r="AI5" s="224">
        <f>(AE5/100)*Reference!$L$20*(H5/1000)/(Reference!$P$26)</f>
        <v>140.19761685176658</v>
      </c>
      <c r="AJ5" s="224">
        <f>(AE5/100)*Reference!$L$20*(H5/1000)/(Reference!$P$20)</f>
        <v>257.55545354558637</v>
      </c>
      <c r="AK5" s="224">
        <f>AH5/(Reference!$R$20)</f>
        <v>825.76915617740042</v>
      </c>
      <c r="AL5" s="224">
        <f>AI5/(Reference!$R$20)</f>
        <v>2199.9720189521954</v>
      </c>
      <c r="AM5" s="224">
        <f>AB5/(Reference!$R$20)</f>
        <v>51.980344545958673</v>
      </c>
      <c r="AN5" s="118">
        <f t="shared" ref="AN5:AN36" si="3">S5/H5</f>
        <v>47.090862761204114</v>
      </c>
      <c r="AO5" s="179">
        <f>0.00002*(AO$2/293)^1.67</f>
        <v>3.0579717730818616E-4</v>
      </c>
      <c r="AP5" s="123"/>
      <c r="AQ5" s="270">
        <f>AE5/AD5</f>
        <v>2.4426238533521722</v>
      </c>
      <c r="AR5" s="270">
        <f>(1/0.0557)*(H5/1000)^2*V5*(AE5/100)/6*((AE5/100)-(AD5/100)*0.75)</f>
        <v>1.239300459258128E-2</v>
      </c>
      <c r="AS5" s="270">
        <f t="shared" ref="AS5:AS36" si="4">0.75*AR5/(2*(AE5/100)-(AD5/100))</f>
        <v>4.1235314250812703E-3</v>
      </c>
      <c r="AT5" s="270">
        <f t="shared" ref="AT5:AT36" si="5">1000*(S5/1000)/(AD5/100)-(0.75*AR5/(AD5/100)^2)*LN(ABS(1+((AD5/100)*(S5/1000)/(0.75*AR5))*(1-((AD5/100)/(2*(AE5/100))))))</f>
        <v>129.84264323509674</v>
      </c>
      <c r="AU5" s="270">
        <f>1/(AD5/100)*LN((4*AD5/100*(S5/1000+AS5)+3*AR5)/(4*AD5/100*AS5+3*AR5))</f>
        <v>2.682331195035363</v>
      </c>
      <c r="AV5" s="270">
        <f>1/(AD5/100)*LN((4*AD5/100*(S5/2000+AS5)+3*AR5)/(4*AD5/100*AS5+3*AR5))</f>
        <v>1.817485092757845</v>
      </c>
      <c r="AW5" s="270">
        <f>AU5-AV5</f>
        <v>0.86484610227751801</v>
      </c>
      <c r="AX5" s="270">
        <f t="shared" ref="AX5:AX36" si="6">1000*(S5/2000)/(AD5/100)-(0.75*AR5/(AD5/100)^2)*LN(ABS(1+((AD5/100)*(S5/2000)/(0.75*AR5))*(1-((AD5/100)/(2*(AE5/100))))))</f>
        <v>64.913690531011881</v>
      </c>
      <c r="AY5" s="270">
        <f>AT5-AX5</f>
        <v>64.928952704084864</v>
      </c>
      <c r="AZ5" s="270">
        <f>AX5/AY5</f>
        <v>0.99976494040890296</v>
      </c>
      <c r="BD5" s="178">
        <v>75.354798590478822</v>
      </c>
      <c r="BE5" s="118">
        <v>0.20469791094270096</v>
      </c>
      <c r="BF5" s="118">
        <v>0.20469791094270096</v>
      </c>
      <c r="BG5" s="118">
        <f>BF5*2</f>
        <v>0.40939582188540191</v>
      </c>
      <c r="BH5" s="118">
        <v>75.354798590478822</v>
      </c>
      <c r="BI5" s="118">
        <v>51.980344545958673</v>
      </c>
    </row>
    <row r="6" spans="1:66" s="118" customFormat="1">
      <c r="A6" s="176">
        <v>45</v>
      </c>
      <c r="B6" s="181">
        <v>0.60912037037037037</v>
      </c>
      <c r="C6" s="69">
        <v>0.61670138888888892</v>
      </c>
      <c r="D6" s="69">
        <v>0.6096759259259259</v>
      </c>
      <c r="E6" s="173">
        <v>1</v>
      </c>
      <c r="F6" s="173" t="s">
        <v>157</v>
      </c>
      <c r="G6" s="170" t="s">
        <v>9</v>
      </c>
      <c r="H6" s="177">
        <v>1.6002000000000001</v>
      </c>
      <c r="I6" s="170">
        <v>101325</v>
      </c>
      <c r="J6" s="218">
        <v>28.05</v>
      </c>
      <c r="K6" s="218">
        <v>28.05</v>
      </c>
      <c r="L6" s="224">
        <v>1</v>
      </c>
      <c r="M6" s="118">
        <v>207</v>
      </c>
      <c r="N6" s="118">
        <v>42</v>
      </c>
      <c r="O6" s="118">
        <v>99</v>
      </c>
      <c r="P6" s="118">
        <v>0.28000000000000003</v>
      </c>
      <c r="R6" s="118">
        <v>286</v>
      </c>
      <c r="S6" s="118">
        <f>R6*Reference!$B$23+Reference!$B$24</f>
        <v>53.989152214468319</v>
      </c>
      <c r="T6" s="118">
        <v>26</v>
      </c>
      <c r="U6" s="118">
        <f>T6*-Reference!$B$23</f>
        <v>5.9731914599599261</v>
      </c>
      <c r="V6" s="178">
        <f>Reference!$L$20</f>
        <v>1162.2987427650205</v>
      </c>
      <c r="W6" s="178">
        <v>2367.4</v>
      </c>
      <c r="X6" s="123">
        <f>Reference!$W$20</f>
        <v>5.0085999999999999E-2</v>
      </c>
      <c r="Y6" s="123">
        <f t="shared" ref="Y6:Y59" si="7">(20*10^-6)*(600/298)^(1.67)</f>
        <v>6.4357834526886323E-5</v>
      </c>
      <c r="Z6" s="118">
        <f>M6*Reference!$L$5</f>
        <v>124.19999999999999</v>
      </c>
      <c r="AA6" s="118">
        <f t="shared" si="0"/>
        <v>124.19999999999999</v>
      </c>
      <c r="AB6" s="118">
        <f>Z6*Reference!$L$20/(60*10^3)</f>
        <v>2.4059583975235923</v>
      </c>
      <c r="AC6" s="118">
        <f t="shared" si="1"/>
        <v>2.4059583975235923</v>
      </c>
      <c r="AD6" s="118">
        <f>N6*Reference!$F$10+Reference!$F$11</f>
        <v>33.570676556049591</v>
      </c>
      <c r="AE6" s="118">
        <f t="shared" si="2"/>
        <v>102.9276202992509</v>
      </c>
      <c r="AF6" s="118">
        <f t="shared" ref="AF6:AF59" si="8">AE6*2</f>
        <v>205.85524059850181</v>
      </c>
      <c r="AG6" s="118">
        <f t="shared" ref="AG6:AG59" si="9">AD6/(2*AE6)</f>
        <v>0.16307904748233024</v>
      </c>
      <c r="AH6" s="224">
        <f>(AE6/100)*Reference!$L$20*(H6/1000)/(Reference!$W$20)</f>
        <v>38.22149031667881</v>
      </c>
      <c r="AI6" s="224">
        <f>(AE6/100)*Reference!$L$20*(H6/1000)/(Reference!$P$26)</f>
        <v>101.82774276601994</v>
      </c>
      <c r="AJ6" s="224">
        <f>(AE6/100)*Reference!$L$20*(H6/1000)/(Reference!$P$20)</f>
        <v>187.06659257521537</v>
      </c>
      <c r="AK6" s="224">
        <f>AH6/(Reference!$R$20)</f>
        <v>599.7691765920066</v>
      </c>
      <c r="AL6" s="224">
        <f>AI6/(Reference!$R$20)</f>
        <v>1597.8744137652789</v>
      </c>
      <c r="AM6" s="224">
        <f>AB6/(Reference!$R$20)</f>
        <v>37.754144986012086</v>
      </c>
      <c r="AN6" s="118">
        <f t="shared" si="3"/>
        <v>33.739002758697858</v>
      </c>
      <c r="AO6" s="179">
        <f t="shared" ref="AO6:AO60" si="10">0.00002*(AO$2/293)^1.67</f>
        <v>3.0579717730818616E-4</v>
      </c>
      <c r="AP6" s="123"/>
      <c r="AQ6" s="270">
        <f t="shared" ref="AQ6:AQ59" si="11">AE6/AD6</f>
        <v>3.0659977950519699</v>
      </c>
      <c r="AR6" s="270">
        <f t="shared" ref="AR6:AR59" si="12">(1/0.0557)*(H6/1000)^2*V6*(AE6/100)/6*((AE6/100)-(AD6/100)*0.75)</f>
        <v>7.1267253441769131E-3</v>
      </c>
      <c r="AS6" s="270">
        <f t="shared" si="4"/>
        <v>3.1024509002533884E-3</v>
      </c>
      <c r="AT6" s="270">
        <f t="shared" si="5"/>
        <v>160.75856698229867</v>
      </c>
      <c r="AU6" s="270">
        <f t="shared" ref="AU6:AU59" si="13">1/(AD6/100)*LN((4*AD6/100*(S6/1000+AS6)+3*AR6)/(4*AD6/100*AS6+3*AR6))</f>
        <v>4.0062638713400434</v>
      </c>
      <c r="AV6" s="270">
        <f t="shared" ref="AV6:AV59" si="14">1/(AD6/100)*LN((4*AD6/100*(S6/2000+AS6)+3*AR6)/(4*AD6/100*AS6+3*AR6))</f>
        <v>2.6312760339140655</v>
      </c>
      <c r="AW6" s="270">
        <f t="shared" ref="AW6:AW59" si="15">AU6-AV6</f>
        <v>1.3749878374259779</v>
      </c>
      <c r="AX6" s="270">
        <f t="shared" si="6"/>
        <v>80.36928232884641</v>
      </c>
      <c r="AY6" s="270">
        <f t="shared" ref="AY6:AY59" si="16">AT6-AX6</f>
        <v>80.389284653452265</v>
      </c>
      <c r="AZ6" s="270">
        <f t="shared" ref="AZ6:AZ59" si="17">AX6/AY6</f>
        <v>0.99975118170671529</v>
      </c>
      <c r="BD6" s="178">
        <v>53.989152214468319</v>
      </c>
      <c r="BE6" s="118">
        <v>0.16307904748233024</v>
      </c>
      <c r="BF6" s="118">
        <v>0.16307904748233024</v>
      </c>
      <c r="BG6" s="118">
        <f t="shared" ref="BG6:BG54" si="18">BF6*2</f>
        <v>0.32615809496466047</v>
      </c>
      <c r="BH6" s="118">
        <v>53.989152214468319</v>
      </c>
      <c r="BI6" s="118">
        <v>37.754144986012086</v>
      </c>
    </row>
    <row r="7" spans="1:66" s="118" customFormat="1">
      <c r="A7" s="176">
        <v>45</v>
      </c>
      <c r="B7" s="182">
        <v>0.61813657407407407</v>
      </c>
      <c r="C7" s="182">
        <v>0.61957175925925922</v>
      </c>
      <c r="D7" s="69">
        <v>0.61842592592592593</v>
      </c>
      <c r="E7" s="173"/>
      <c r="F7" s="173" t="s">
        <v>158</v>
      </c>
      <c r="G7" s="170" t="s">
        <v>9</v>
      </c>
      <c r="H7" s="177">
        <v>1.6002000000000001</v>
      </c>
      <c r="I7" s="170">
        <v>101325</v>
      </c>
      <c r="J7" s="218">
        <v>28.05</v>
      </c>
      <c r="K7" s="218">
        <v>28.05</v>
      </c>
      <c r="L7" s="224">
        <v>1</v>
      </c>
      <c r="M7" s="118">
        <v>211</v>
      </c>
      <c r="N7" s="118">
        <v>48</v>
      </c>
      <c r="O7" s="118">
        <v>48</v>
      </c>
      <c r="P7" s="118">
        <v>100</v>
      </c>
      <c r="R7" s="118">
        <v>278</v>
      </c>
      <c r="S7" s="118">
        <f>R7*Reference!$B$23+Reference!$B$24</f>
        <v>55.827057279071376</v>
      </c>
      <c r="T7" s="118">
        <v>28</v>
      </c>
      <c r="U7" s="118">
        <f>T7*-Reference!$B$23</f>
        <v>6.4326677261106893</v>
      </c>
      <c r="V7" s="178">
        <f>Reference!$L$20</f>
        <v>1162.2987427650205</v>
      </c>
      <c r="W7" s="178">
        <v>2367.4</v>
      </c>
      <c r="X7" s="123">
        <f>Reference!$W$20</f>
        <v>5.0085999999999999E-2</v>
      </c>
      <c r="Y7" s="123">
        <f t="shared" si="7"/>
        <v>6.4357834526886323E-5</v>
      </c>
      <c r="Z7" s="118">
        <f>M7*Reference!$L$5</f>
        <v>126.6</v>
      </c>
      <c r="AA7" s="118">
        <f t="shared" si="0"/>
        <v>126.6</v>
      </c>
      <c r="AB7" s="118">
        <f>Z7*Reference!$L$20/(60*10^3)</f>
        <v>2.4524503472341932</v>
      </c>
      <c r="AC7" s="118">
        <f t="shared" si="1"/>
        <v>2.4524503472341932</v>
      </c>
      <c r="AD7" s="118">
        <f>N7*Reference!$F$10+Reference!$F$11</f>
        <v>39.211968863103159</v>
      </c>
      <c r="AE7" s="118">
        <f t="shared" si="2"/>
        <v>104.91655982194175</v>
      </c>
      <c r="AF7" s="118">
        <f t="shared" si="8"/>
        <v>209.83311964388349</v>
      </c>
      <c r="AG7" s="118">
        <f t="shared" si="9"/>
        <v>0.18687216264835324</v>
      </c>
      <c r="AH7" s="224">
        <f>(AE7/100)*Reference!$L$20*(H7/1000)/(Reference!$W$20)</f>
        <v>38.960069839706421</v>
      </c>
      <c r="AI7" s="224">
        <f>(AE7/100)*Reference!$L$20*(H7/1000)/(Reference!$P$26)</f>
        <v>103.79542861657104</v>
      </c>
      <c r="AJ7" s="224">
        <f>(AE7/100)*Reference!$L$20*(H7/1000)/(Reference!$P$20)</f>
        <v>190.68140595831133</v>
      </c>
      <c r="AK7" s="224">
        <f>AH7/(Reference!$R$20)</f>
        <v>611.35891913484738</v>
      </c>
      <c r="AL7" s="224">
        <f>AI7/(Reference!$R$20)</f>
        <v>1628.7512140312747</v>
      </c>
      <c r="AM7" s="224">
        <f>AB7/(Reference!$R$20)</f>
        <v>38.483693681393959</v>
      </c>
      <c r="AN7" s="118">
        <f t="shared" si="3"/>
        <v>34.887549855687645</v>
      </c>
      <c r="AO7" s="179">
        <f t="shared" si="10"/>
        <v>3.0579717730818616E-4</v>
      </c>
      <c r="AP7" s="123"/>
      <c r="AQ7" s="270">
        <f t="shared" si="11"/>
        <v>2.6756259087174756</v>
      </c>
      <c r="AR7" s="270">
        <f t="shared" si="12"/>
        <v>7.0549585441303077E-3</v>
      </c>
      <c r="AS7" s="270">
        <f t="shared" si="4"/>
        <v>3.1011506392288157E-3</v>
      </c>
      <c r="AT7" s="270">
        <f t="shared" si="5"/>
        <v>142.32178821816709</v>
      </c>
      <c r="AU7" s="270">
        <f t="shared" si="13"/>
        <v>3.7575458315744297</v>
      </c>
      <c r="AV7" s="270">
        <f t="shared" si="14"/>
        <v>2.516012261567349</v>
      </c>
      <c r="AW7" s="270">
        <f t="shared" si="15"/>
        <v>1.2415335700070806</v>
      </c>
      <c r="AX7" s="270">
        <f t="shared" si="6"/>
        <v>71.152295273133362</v>
      </c>
      <c r="AY7" s="270">
        <f t="shared" si="16"/>
        <v>71.169492945033724</v>
      </c>
      <c r="AZ7" s="270">
        <f t="shared" si="17"/>
        <v>0.99975835612720121</v>
      </c>
      <c r="BD7" s="178">
        <v>55.827057279071376</v>
      </c>
      <c r="BE7" s="118">
        <v>0.18687216264835324</v>
      </c>
      <c r="BF7" s="118">
        <v>0.18687216264835324</v>
      </c>
      <c r="BG7" s="118">
        <f t="shared" si="18"/>
        <v>0.37374432529670648</v>
      </c>
      <c r="BH7" s="118">
        <v>55.827057279071376</v>
      </c>
      <c r="BI7" s="118">
        <v>38.483693681393959</v>
      </c>
    </row>
    <row r="8" spans="1:66" s="118" customFormat="1">
      <c r="A8" s="183">
        <v>168</v>
      </c>
      <c r="B8" s="69">
        <v>0.40917824074074072</v>
      </c>
      <c r="C8" s="184">
        <v>0.41018518518518521</v>
      </c>
      <c r="D8" s="69">
        <v>0.4100462962962963</v>
      </c>
      <c r="E8" s="173"/>
      <c r="F8" s="173" t="s">
        <v>159</v>
      </c>
      <c r="G8" s="185" t="s">
        <v>9</v>
      </c>
      <c r="H8" s="177">
        <v>1.6002000000000001</v>
      </c>
      <c r="I8" s="170">
        <v>101325</v>
      </c>
      <c r="J8" s="218">
        <v>28.05</v>
      </c>
      <c r="K8" s="218">
        <v>28.05</v>
      </c>
      <c r="L8" s="224">
        <v>1</v>
      </c>
      <c r="M8" s="186">
        <v>209</v>
      </c>
      <c r="N8" s="186">
        <v>45</v>
      </c>
      <c r="O8" s="186">
        <v>96</v>
      </c>
      <c r="P8" s="187">
        <v>0.17361111111111113</v>
      </c>
      <c r="Q8" s="118">
        <v>250</v>
      </c>
      <c r="R8" s="118">
        <v>271</v>
      </c>
      <c r="S8" s="118">
        <f>R8*Reference!$R$60+Reference!$R$61</f>
        <v>57.504493971454878</v>
      </c>
      <c r="T8" s="118">
        <v>31</v>
      </c>
      <c r="U8" s="118">
        <f>T8*-Reference!$R$60</f>
        <v>7.1228727628533335</v>
      </c>
      <c r="V8" s="178">
        <f>Reference!$L$20</f>
        <v>1162.2987427650205</v>
      </c>
      <c r="W8" s="178">
        <v>2367.4</v>
      </c>
      <c r="X8" s="123">
        <f>Reference!$W$20</f>
        <v>5.0085999999999999E-2</v>
      </c>
      <c r="Y8" s="123">
        <f t="shared" si="7"/>
        <v>6.4357834526886323E-5</v>
      </c>
      <c r="Z8" s="118">
        <f>M8*Reference!$L$5</f>
        <v>125.39999999999999</v>
      </c>
      <c r="AA8" s="118">
        <f>Z8</f>
        <v>125.39999999999999</v>
      </c>
      <c r="AB8" s="118">
        <f>Z8*Reference!$L$20/(60*10^3)</f>
        <v>2.4292043723788925</v>
      </c>
      <c r="AC8" s="118">
        <f>AB8</f>
        <v>2.4292043723788925</v>
      </c>
      <c r="AD8" s="118">
        <f>N8*Reference!$F$10+Reference!$F$11</f>
        <v>36.391322709576379</v>
      </c>
      <c r="AE8" s="118">
        <f t="shared" si="2"/>
        <v>103.92209006059632</v>
      </c>
      <c r="AF8" s="118">
        <f t="shared" si="8"/>
        <v>207.84418012119264</v>
      </c>
      <c r="AG8" s="118">
        <f t="shared" si="9"/>
        <v>0.17508944772163854</v>
      </c>
      <c r="AH8" s="224">
        <f>(AE8/100)*Reference!$L$20*(H8/1000)/(Reference!$W$20)</f>
        <v>38.590780078192616</v>
      </c>
      <c r="AI8" s="224">
        <f>(AE8/100)*Reference!$L$20*(H8/1000)/(Reference!$P$26)</f>
        <v>102.81158569129549</v>
      </c>
      <c r="AJ8" s="224">
        <f>(AE8/100)*Reference!$L$20*(H8/1000)/(Reference!$P$20)</f>
        <v>188.87399926676335</v>
      </c>
      <c r="AK8" s="224">
        <f>AH8/(Reference!$R$20)</f>
        <v>605.56404786342705</v>
      </c>
      <c r="AL8" s="224">
        <f>AI8/(Reference!$R$20)</f>
        <v>1613.3128138982768</v>
      </c>
      <c r="AM8" s="224">
        <f>AB8/(Reference!$R$20)</f>
        <v>38.118919333703019</v>
      </c>
      <c r="AN8" s="118">
        <f t="shared" si="3"/>
        <v>35.935816755064913</v>
      </c>
      <c r="AO8" s="179">
        <f t="shared" si="10"/>
        <v>3.0579717730818616E-4</v>
      </c>
      <c r="AP8" s="123"/>
      <c r="AQ8" s="270">
        <f t="shared" si="11"/>
        <v>2.8556832322351728</v>
      </c>
      <c r="AR8" s="270">
        <f t="shared" si="12"/>
        <v>7.0918347465206743E-3</v>
      </c>
      <c r="AS8" s="270">
        <f t="shared" si="4"/>
        <v>3.1022382129923848E-3</v>
      </c>
      <c r="AT8" s="270">
        <f t="shared" si="5"/>
        <v>157.95897811723859</v>
      </c>
      <c r="AU8" s="270">
        <f t="shared" si="13"/>
        <v>3.9731130831947072</v>
      </c>
      <c r="AV8" s="270">
        <f t="shared" si="14"/>
        <v>2.6496165582190838</v>
      </c>
      <c r="AW8" s="270">
        <f t="shared" si="15"/>
        <v>1.3234965249756234</v>
      </c>
      <c r="AX8" s="270">
        <f t="shared" si="6"/>
        <v>78.969797918572468</v>
      </c>
      <c r="AY8" s="270">
        <f t="shared" si="16"/>
        <v>78.989180198666119</v>
      </c>
      <c r="AZ8" s="270">
        <f t="shared" si="17"/>
        <v>0.99975462107538138</v>
      </c>
      <c r="BD8" s="178">
        <v>57.504493971454878</v>
      </c>
      <c r="BE8" s="118">
        <v>0.17508944772163854</v>
      </c>
      <c r="BF8" s="118">
        <v>0.17508944772163854</v>
      </c>
      <c r="BG8" s="118">
        <f t="shared" si="18"/>
        <v>0.35017889544327707</v>
      </c>
      <c r="BH8" s="118">
        <v>57.504493971454878</v>
      </c>
      <c r="BI8" s="118">
        <v>38.118919333703019</v>
      </c>
    </row>
    <row r="9" spans="1:66" s="118" customFormat="1">
      <c r="A9" s="176">
        <v>45</v>
      </c>
      <c r="B9" s="69">
        <v>0.65878472222222217</v>
      </c>
      <c r="C9" s="69">
        <v>0.65924768518518517</v>
      </c>
      <c r="D9" s="69">
        <v>0.65887731481481482</v>
      </c>
      <c r="E9" s="173">
        <v>5</v>
      </c>
      <c r="F9" s="173" t="s">
        <v>160</v>
      </c>
      <c r="G9" s="170" t="s">
        <v>9</v>
      </c>
      <c r="H9" s="177">
        <v>1.6002000000000001</v>
      </c>
      <c r="I9" s="170">
        <v>101325</v>
      </c>
      <c r="J9" s="218">
        <v>28.05</v>
      </c>
      <c r="K9" s="218">
        <v>28.05</v>
      </c>
      <c r="L9" s="224">
        <v>1</v>
      </c>
      <c r="M9" s="118">
        <v>140</v>
      </c>
      <c r="N9" s="118">
        <v>26</v>
      </c>
      <c r="O9" s="118">
        <v>65</v>
      </c>
      <c r="P9" s="118">
        <v>4.0999999999999996</v>
      </c>
      <c r="R9" s="118">
        <v>360</v>
      </c>
      <c r="S9" s="118">
        <f>R9*Reference!$B$23+Reference!$B$24</f>
        <v>36.988530366890075</v>
      </c>
      <c r="T9" s="118">
        <v>25</v>
      </c>
      <c r="U9" s="118">
        <f>T9*-Reference!$B$23</f>
        <v>5.743453326884544</v>
      </c>
      <c r="V9" s="178">
        <f>Reference!$L$20</f>
        <v>1162.2987427650205</v>
      </c>
      <c r="W9" s="178">
        <v>2367.4</v>
      </c>
      <c r="X9" s="123">
        <f>Reference!$W$20</f>
        <v>5.0085999999999999E-2</v>
      </c>
      <c r="Y9" s="123">
        <f t="shared" si="7"/>
        <v>6.4357834526886323E-5</v>
      </c>
      <c r="Z9" s="118">
        <f>M9*Reference!$L$5</f>
        <v>84</v>
      </c>
      <c r="AA9" s="118">
        <f t="shared" si="0"/>
        <v>84</v>
      </c>
      <c r="AB9" s="118">
        <f>Z9*Reference!$L$20/(60*10^3)</f>
        <v>1.6272182398710289</v>
      </c>
      <c r="AC9" s="118">
        <f t="shared" si="1"/>
        <v>1.6272182398710289</v>
      </c>
      <c r="AD9" s="118">
        <f>N9*Reference!$F$10+Reference!$F$11</f>
        <v>18.527230403906753</v>
      </c>
      <c r="AE9" s="118">
        <f t="shared" si="2"/>
        <v>69.612883294179355</v>
      </c>
      <c r="AF9" s="118">
        <f t="shared" si="8"/>
        <v>139.22576658835871</v>
      </c>
      <c r="AG9" s="118">
        <f t="shared" si="9"/>
        <v>0.13307328706391836</v>
      </c>
      <c r="AH9" s="224">
        <f>(AE9/100)*Reference!$L$20*(H9/1000)/(Reference!$W$20)</f>
        <v>25.850283305966347</v>
      </c>
      <c r="AI9" s="224">
        <f>(AE9/100)*Reference!$L$20*(H9/1000)/(Reference!$P$26)</f>
        <v>68.86900476928885</v>
      </c>
      <c r="AJ9" s="224">
        <f>(AE9/100)*Reference!$L$20*(H9/1000)/(Reference!$P$20)</f>
        <v>126.51846840835823</v>
      </c>
      <c r="AK9" s="224">
        <f>AH9/(Reference!$R$20)</f>
        <v>405.64098899942479</v>
      </c>
      <c r="AL9" s="224">
        <f>AI9/(Reference!$R$20)</f>
        <v>1080.6880093098505</v>
      </c>
      <c r="AM9" s="224">
        <f>AB9/(Reference!$R$20)</f>
        <v>25.534204338365665</v>
      </c>
      <c r="AN9" s="118">
        <f t="shared" si="3"/>
        <v>23.114942111542351</v>
      </c>
      <c r="AO9" s="179">
        <f t="shared" si="10"/>
        <v>3.0579717730818616E-4</v>
      </c>
      <c r="AP9" s="123"/>
      <c r="AQ9" s="270">
        <f t="shared" si="11"/>
        <v>3.7573280936529185</v>
      </c>
      <c r="AR9" s="270">
        <f t="shared" si="12"/>
        <v>3.4541467967706858E-3</v>
      </c>
      <c r="AS9" s="270">
        <f t="shared" si="4"/>
        <v>2.1463475693019461E-3</v>
      </c>
      <c r="AT9" s="270">
        <f t="shared" si="5"/>
        <v>199.55419005382697</v>
      </c>
      <c r="AU9" s="270">
        <f t="shared" si="13"/>
        <v>6.4331544847916806</v>
      </c>
      <c r="AV9" s="270">
        <f t="shared" si="14"/>
        <v>4.1231464646445994</v>
      </c>
      <c r="AW9" s="270">
        <f t="shared" si="15"/>
        <v>2.3100080201470812</v>
      </c>
      <c r="AX9" s="270">
        <f t="shared" si="6"/>
        <v>99.764418726516126</v>
      </c>
      <c r="AY9" s="270">
        <f t="shared" si="16"/>
        <v>99.789771327310845</v>
      </c>
      <c r="AZ9" s="270">
        <f t="shared" si="17"/>
        <v>0.99974593988484484</v>
      </c>
      <c r="BD9" s="178">
        <v>36.988530366890075</v>
      </c>
      <c r="BE9" s="118">
        <v>0.13307328706391836</v>
      </c>
      <c r="BF9" s="118">
        <v>0.13307328706391836</v>
      </c>
      <c r="BG9" s="118">
        <f t="shared" si="18"/>
        <v>0.26614657412783671</v>
      </c>
      <c r="BH9" s="118">
        <v>36.988530366890075</v>
      </c>
      <c r="BI9" s="118">
        <v>25.534204338365665</v>
      </c>
    </row>
    <row r="10" spans="1:66" s="118" customFormat="1">
      <c r="A10" s="176">
        <v>45</v>
      </c>
      <c r="B10" s="182">
        <v>0.72763888888888895</v>
      </c>
      <c r="C10" s="182">
        <v>0.72802083333333334</v>
      </c>
      <c r="D10" s="182">
        <v>0.72811342592592598</v>
      </c>
      <c r="E10" s="173"/>
      <c r="F10" s="173" t="s">
        <v>161</v>
      </c>
      <c r="G10" s="170" t="s">
        <v>9</v>
      </c>
      <c r="H10" s="188">
        <v>0.76200000000000001</v>
      </c>
      <c r="I10" s="170">
        <v>101325</v>
      </c>
      <c r="J10" s="218">
        <v>28.05</v>
      </c>
      <c r="K10" s="218">
        <v>28.05</v>
      </c>
      <c r="L10" s="224">
        <v>1</v>
      </c>
      <c r="M10" s="118">
        <v>335</v>
      </c>
      <c r="N10" s="118">
        <v>25</v>
      </c>
      <c r="O10" s="118">
        <v>66</v>
      </c>
      <c r="P10" s="118">
        <v>4.0999999999999996</v>
      </c>
      <c r="Q10" s="118">
        <v>250</v>
      </c>
      <c r="R10" s="118">
        <v>63</v>
      </c>
      <c r="S10" s="118">
        <f>R10*Reference!$B$23+Reference!$B$24</f>
        <v>105.22075589027845</v>
      </c>
      <c r="T10" s="118">
        <v>27</v>
      </c>
      <c r="U10" s="118">
        <f>T10*-Reference!$B$23</f>
        <v>6.2029295930353081</v>
      </c>
      <c r="V10" s="178">
        <f>Reference!$L$20</f>
        <v>1162.2987427650205</v>
      </c>
      <c r="W10" s="178">
        <v>2367.4</v>
      </c>
      <c r="X10" s="123">
        <f>Reference!$W$20</f>
        <v>5.0085999999999999E-2</v>
      </c>
      <c r="Y10" s="123">
        <f t="shared" si="7"/>
        <v>6.4357834526886323E-5</v>
      </c>
      <c r="Z10" s="118">
        <f>M10*Reference!$L$5</f>
        <v>201</v>
      </c>
      <c r="AA10" s="118">
        <f t="shared" si="0"/>
        <v>201</v>
      </c>
      <c r="AB10" s="118">
        <f>Z10*Reference!$L$20/(60*10^3)</f>
        <v>3.8937007882628185</v>
      </c>
      <c r="AC10" s="118">
        <f t="shared" si="1"/>
        <v>3.8937007882628185</v>
      </c>
      <c r="AD10" s="118">
        <f>N10*Reference!$F$10+Reference!$F$11</f>
        <v>17.587015019397825</v>
      </c>
      <c r="AE10" s="118">
        <f t="shared" si="2"/>
        <v>734.58995096182775</v>
      </c>
      <c r="AF10" s="118">
        <f t="shared" si="8"/>
        <v>1469.1799019236555</v>
      </c>
      <c r="AG10" s="118">
        <f t="shared" si="9"/>
        <v>1.1970634090740315E-2</v>
      </c>
      <c r="AH10" s="224">
        <f>(AE10/100)*Reference!$L$20*(H10/1000)/(Reference!$W$20)</f>
        <v>129.8976736124809</v>
      </c>
      <c r="AI10" s="224">
        <f>(AE10/100)*Reference!$L$20*(H10/1000)/(Reference!$P$26)</f>
        <v>346.06674896567654</v>
      </c>
      <c r="AJ10" s="224">
        <f>(AE10/100)*Reference!$L$20*(H10/1000)/(Reference!$P$20)</f>
        <v>635.75530375200026</v>
      </c>
      <c r="AK10" s="224">
        <f>AH10/(Reference!$R$20)</f>
        <v>2038.3459697221097</v>
      </c>
      <c r="AL10" s="224">
        <f>AI10/(Reference!$R$20)</f>
        <v>5430.4572467819999</v>
      </c>
      <c r="AM10" s="224">
        <f>AB10/(Reference!$R$20)</f>
        <v>61.099703238232117</v>
      </c>
      <c r="AN10" s="118">
        <f t="shared" si="3"/>
        <v>138.08498148330506</v>
      </c>
      <c r="AO10" s="179">
        <f t="shared" si="10"/>
        <v>3.0579717730818616E-4</v>
      </c>
      <c r="AP10" s="123"/>
      <c r="AQ10" s="270">
        <f t="shared" si="11"/>
        <v>41.768881765984865</v>
      </c>
      <c r="AR10" s="270">
        <f t="shared" si="12"/>
        <v>0.107014394693389</v>
      </c>
      <c r="AS10" s="270">
        <f t="shared" si="4"/>
        <v>5.5291533007722346E-3</v>
      </c>
      <c r="AT10" s="270">
        <f t="shared" si="5"/>
        <v>597.75406883570474</v>
      </c>
      <c r="AU10" s="270">
        <f t="shared" si="13"/>
        <v>1.1669212084324438</v>
      </c>
      <c r="AV10" s="270">
        <f t="shared" si="14"/>
        <v>0.61334362735782311</v>
      </c>
      <c r="AW10" s="270">
        <f t="shared" si="15"/>
        <v>0.55357758107462074</v>
      </c>
      <c r="AX10" s="270">
        <f t="shared" si="6"/>
        <v>298.8633968834431</v>
      </c>
      <c r="AY10" s="270">
        <f t="shared" si="16"/>
        <v>298.89067195226164</v>
      </c>
      <c r="AZ10" s="270">
        <f t="shared" si="17"/>
        <v>0.99990874566730237</v>
      </c>
      <c r="BD10" s="178">
        <v>105.22075589027845</v>
      </c>
      <c r="BE10" s="118">
        <v>1.1970634090740315E-2</v>
      </c>
    </row>
    <row r="11" spans="1:66" s="118" customFormat="1">
      <c r="A11" s="189">
        <v>48</v>
      </c>
      <c r="B11" s="69">
        <v>0.70399305555555547</v>
      </c>
      <c r="C11" s="69">
        <v>0.70496527777777773</v>
      </c>
      <c r="D11" s="69">
        <v>0.70447916666666666</v>
      </c>
      <c r="E11" s="173">
        <v>19</v>
      </c>
      <c r="F11" s="173" t="s">
        <v>162</v>
      </c>
      <c r="G11" s="190" t="s">
        <v>13</v>
      </c>
      <c r="H11" s="177">
        <v>1.6002000000000001</v>
      </c>
      <c r="I11" s="170">
        <v>101325</v>
      </c>
      <c r="J11" s="218">
        <v>44.1</v>
      </c>
      <c r="K11" s="218">
        <v>44.1</v>
      </c>
      <c r="L11" s="224">
        <v>1</v>
      </c>
      <c r="M11" s="118">
        <v>276</v>
      </c>
      <c r="N11" s="118">
        <v>54</v>
      </c>
      <c r="O11" s="118">
        <v>100</v>
      </c>
      <c r="P11" s="118">
        <v>1.73</v>
      </c>
      <c r="R11" s="118">
        <v>216</v>
      </c>
      <c r="S11" s="118">
        <f>R11*Reference!$B$42+Reference!$B$43</f>
        <v>71.383567938857453</v>
      </c>
      <c r="T11" s="118">
        <v>29</v>
      </c>
      <c r="U11" s="118">
        <f>T11*-Reference!$B$42</f>
        <v>6.7649833115658096</v>
      </c>
      <c r="V11" s="178">
        <f>Reference!$L$21</f>
        <v>1826.8482485022037</v>
      </c>
      <c r="W11" s="6">
        <v>2264.12</v>
      </c>
      <c r="X11" s="123">
        <f>Reference!$W$21</f>
        <v>4.8845E-2</v>
      </c>
      <c r="Y11" s="123">
        <f t="shared" si="7"/>
        <v>6.4357834526886323E-5</v>
      </c>
      <c r="Z11" s="118">
        <f>M11*Reference!$L$6</f>
        <v>99.36</v>
      </c>
      <c r="AA11" s="118">
        <f t="shared" si="0"/>
        <v>99.36</v>
      </c>
      <c r="AB11" s="118">
        <f>Z11*Reference!$L$21/(60*10^3)</f>
        <v>3.0252606995196496</v>
      </c>
      <c r="AC11" s="118">
        <f t="shared" si="1"/>
        <v>3.0252606995196496</v>
      </c>
      <c r="AD11" s="118">
        <f>N11*Reference!$F$10+Reference!$F$11</f>
        <v>44.853261170156728</v>
      </c>
      <c r="AE11" s="118">
        <f t="shared" si="2"/>
        <v>82.342096239400732</v>
      </c>
      <c r="AF11" s="118">
        <f t="shared" si="8"/>
        <v>164.68419247880146</v>
      </c>
      <c r="AG11" s="118">
        <f t="shared" si="9"/>
        <v>0.27235923797562017</v>
      </c>
      <c r="AH11" s="224">
        <f>(AE11/100)*Reference!$L$21*(H11/1000)/(Reference!$W$21)</f>
        <v>49.280890197886613</v>
      </c>
      <c r="AI11" s="224">
        <f>(AE11/100)*Reference!$L$21*(H11/1000)/(Reference!$P$26)</f>
        <v>128.03856817637083</v>
      </c>
      <c r="AJ11" s="224">
        <f>(AE11/100)*Reference!$L$21*(H11/1000)/(Reference!$P$21)</f>
        <v>296.06919326118174</v>
      </c>
      <c r="AK11" s="224">
        <f>AH11/Reference!$R$21</f>
        <v>816.98411316031218</v>
      </c>
      <c r="AL11" s="224">
        <f>AI11/(Reference!$R$21)</f>
        <v>2122.6377131550771</v>
      </c>
      <c r="AM11" s="224">
        <f>AB11/(Reference!$R$21)</f>
        <v>50.153110460285468</v>
      </c>
      <c r="AN11" s="118">
        <f t="shared" si="3"/>
        <v>44.609153817558713</v>
      </c>
      <c r="AO11" s="179">
        <f t="shared" si="10"/>
        <v>3.0579717730818616E-4</v>
      </c>
      <c r="AP11" s="123"/>
      <c r="AQ11" s="270">
        <f t="shared" si="11"/>
        <v>1.8358106878120901</v>
      </c>
      <c r="AR11" s="270">
        <f t="shared" si="12"/>
        <v>5.6132529833776102E-3</v>
      </c>
      <c r="AS11" s="270">
        <f t="shared" si="4"/>
        <v>3.5132329287250546E-3</v>
      </c>
      <c r="AT11" s="270">
        <f t="shared" si="5"/>
        <v>159.10983599823481</v>
      </c>
      <c r="AU11" s="270">
        <f t="shared" si="13"/>
        <v>4.1847751415741126</v>
      </c>
      <c r="AV11" s="270">
        <f t="shared" si="14"/>
        <v>2.9569070113926958</v>
      </c>
      <c r="AW11" s="270">
        <f t="shared" si="15"/>
        <v>1.2278681301814167</v>
      </c>
      <c r="AX11" s="270">
        <f t="shared" si="6"/>
        <v>79.54680359527714</v>
      </c>
      <c r="AY11" s="270">
        <f t="shared" si="16"/>
        <v>79.563032402957674</v>
      </c>
      <c r="AZ11" s="270">
        <f t="shared" si="17"/>
        <v>0.99979602577741955</v>
      </c>
      <c r="BD11" s="178">
        <v>71.383567938857453</v>
      </c>
      <c r="BE11" s="118">
        <v>0.27235923797562017</v>
      </c>
      <c r="BF11" s="118">
        <v>0.27235923797562017</v>
      </c>
      <c r="BG11" s="118">
        <f t="shared" si="18"/>
        <v>0.54471847595124034</v>
      </c>
      <c r="BH11" s="118">
        <v>71.383567938857453</v>
      </c>
      <c r="BI11" s="118">
        <v>50.153110460285468</v>
      </c>
    </row>
    <row r="12" spans="1:66" s="118" customFormat="1">
      <c r="A12" s="189">
        <v>48</v>
      </c>
      <c r="B12" s="69">
        <v>0.71621527777777771</v>
      </c>
      <c r="C12" s="69">
        <v>0.71774305555555562</v>
      </c>
      <c r="D12" s="69">
        <v>0.71675925925925921</v>
      </c>
      <c r="E12" s="173">
        <v>21</v>
      </c>
      <c r="F12" s="173" t="s">
        <v>163</v>
      </c>
      <c r="G12" s="190" t="s">
        <v>13</v>
      </c>
      <c r="H12" s="177">
        <v>1.6002000000000001</v>
      </c>
      <c r="I12" s="170">
        <v>101325</v>
      </c>
      <c r="J12" s="218">
        <v>44.1</v>
      </c>
      <c r="K12" s="218">
        <v>44.1</v>
      </c>
      <c r="L12" s="224">
        <v>1</v>
      </c>
      <c r="M12" s="118">
        <v>230</v>
      </c>
      <c r="N12" s="118">
        <v>45</v>
      </c>
      <c r="O12" s="118">
        <v>85</v>
      </c>
      <c r="P12" s="118">
        <v>1.43</v>
      </c>
      <c r="R12" s="118">
        <v>260</v>
      </c>
      <c r="S12" s="118">
        <f>R12*Reference!$B$42+Reference!$B$43</f>
        <v>61.119455328205881</v>
      </c>
      <c r="T12" s="118">
        <v>29</v>
      </c>
      <c r="U12" s="118">
        <f>T12*-Reference!$B$42</f>
        <v>6.7649833115658096</v>
      </c>
      <c r="V12" s="178">
        <f>Reference!$L$21</f>
        <v>1826.8482485022037</v>
      </c>
      <c r="W12" s="6">
        <v>2264.12</v>
      </c>
      <c r="X12" s="123">
        <f>Reference!$W$21</f>
        <v>4.8845E-2</v>
      </c>
      <c r="Y12" s="123">
        <f t="shared" si="7"/>
        <v>6.4357834526886323E-5</v>
      </c>
      <c r="Z12" s="118">
        <f>M12*Reference!$L$6</f>
        <v>82.8</v>
      </c>
      <c r="AA12" s="118">
        <f t="shared" si="0"/>
        <v>82.8</v>
      </c>
      <c r="AB12" s="118">
        <f>Z12*Reference!$L$21/(60*10^3)</f>
        <v>2.5210505829330407</v>
      </c>
      <c r="AC12" s="118">
        <f t="shared" si="1"/>
        <v>2.5210505829330407</v>
      </c>
      <c r="AD12" s="118">
        <f>N12*Reference!$F$10+Reference!$F$11</f>
        <v>36.391322709576379</v>
      </c>
      <c r="AE12" s="118">
        <f t="shared" si="2"/>
        <v>68.618413532833941</v>
      </c>
      <c r="AF12" s="118">
        <f t="shared" si="8"/>
        <v>137.23682706566788</v>
      </c>
      <c r="AG12" s="118">
        <f t="shared" si="9"/>
        <v>0.26517169981030758</v>
      </c>
      <c r="AH12" s="224">
        <f>(AE12/100)*Reference!$L$21*(H12/1000)/(Reference!$W$21)</f>
        <v>41.067408498238855</v>
      </c>
      <c r="AI12" s="224">
        <f>(AE12/100)*Reference!$L$21*(H12/1000)/(Reference!$P$26)</f>
        <v>106.69880681364238</v>
      </c>
      <c r="AJ12" s="224">
        <f>(AE12/100)*Reference!$L$21*(H12/1000)/(Reference!$P$21)</f>
        <v>246.72432771765151</v>
      </c>
      <c r="AK12" s="224">
        <f>AH12/Reference!$R$21</f>
        <v>680.82009430026039</v>
      </c>
      <c r="AL12" s="224">
        <f>AI12/(Reference!$R$21)</f>
        <v>1768.8647609625646</v>
      </c>
      <c r="AM12" s="224">
        <f>AB12/(Reference!$R$21)</f>
        <v>41.794258716904551</v>
      </c>
      <c r="AN12" s="118">
        <f t="shared" si="3"/>
        <v>38.194885219476241</v>
      </c>
      <c r="AO12" s="179">
        <f t="shared" si="10"/>
        <v>3.0579717730818616E-4</v>
      </c>
      <c r="AP12" s="123"/>
      <c r="AQ12" s="270">
        <f t="shared" si="11"/>
        <v>1.88557074664332</v>
      </c>
      <c r="AR12" s="270">
        <f t="shared" si="12"/>
        <v>3.9691477887905243E-3</v>
      </c>
      <c r="AS12" s="270">
        <f t="shared" si="4"/>
        <v>2.9519023783959866E-3</v>
      </c>
      <c r="AT12" s="270">
        <f t="shared" si="5"/>
        <v>167.90858714653075</v>
      </c>
      <c r="AU12" s="270">
        <f t="shared" si="13"/>
        <v>5.1394819696748133</v>
      </c>
      <c r="AV12" s="270">
        <f t="shared" si="14"/>
        <v>3.6285467368292026</v>
      </c>
      <c r="AW12" s="270">
        <f t="shared" si="15"/>
        <v>1.5109352328456107</v>
      </c>
      <c r="AX12" s="270">
        <f t="shared" si="6"/>
        <v>83.94563239486547</v>
      </c>
      <c r="AY12" s="270">
        <f t="shared" si="16"/>
        <v>83.962954751665279</v>
      </c>
      <c r="AZ12" s="270">
        <f t="shared" si="17"/>
        <v>0.99979369048110511</v>
      </c>
      <c r="BD12" s="178">
        <v>61.119455328205881</v>
      </c>
      <c r="BE12" s="118">
        <v>0.26517169981030758</v>
      </c>
      <c r="BF12" s="118">
        <v>0.26517169981030758</v>
      </c>
      <c r="BG12" s="118">
        <f t="shared" si="18"/>
        <v>0.53034339962061516</v>
      </c>
      <c r="BH12" s="118">
        <v>61.119455328205881</v>
      </c>
      <c r="BI12" s="118">
        <v>41.794258716904551</v>
      </c>
    </row>
    <row r="13" spans="1:66" s="118" customFormat="1">
      <c r="A13" s="189">
        <v>48</v>
      </c>
      <c r="B13" s="191">
        <v>0.73932870370370374</v>
      </c>
      <c r="C13" s="191">
        <v>0.74075231481481474</v>
      </c>
      <c r="D13" s="192">
        <v>0.7397800925925927</v>
      </c>
      <c r="E13" s="173">
        <v>23</v>
      </c>
      <c r="F13" s="173" t="s">
        <v>164</v>
      </c>
      <c r="G13" s="190" t="s">
        <v>13</v>
      </c>
      <c r="H13" s="177">
        <v>1.6002000000000001</v>
      </c>
      <c r="I13" s="170">
        <v>101325</v>
      </c>
      <c r="J13" s="218">
        <v>44.1</v>
      </c>
      <c r="K13" s="218">
        <v>44.1</v>
      </c>
      <c r="L13" s="224">
        <v>1</v>
      </c>
      <c r="M13" s="118">
        <v>164</v>
      </c>
      <c r="N13" s="118">
        <v>30</v>
      </c>
      <c r="O13" s="118">
        <v>65</v>
      </c>
      <c r="P13" s="118">
        <v>1</v>
      </c>
      <c r="R13" s="118">
        <v>325</v>
      </c>
      <c r="S13" s="118">
        <f>R13*Reference!$N$78+Reference!$N$79</f>
        <v>45.522586348649611</v>
      </c>
      <c r="T13" s="118">
        <v>34</v>
      </c>
      <c r="U13" s="118">
        <f>T13*-Reference!$N$78</f>
        <v>6.8706197046036941</v>
      </c>
      <c r="V13" s="178">
        <f>Reference!$L$21</f>
        <v>1826.8482485022037</v>
      </c>
      <c r="W13" s="6">
        <v>2264.12</v>
      </c>
      <c r="X13" s="123">
        <f>Reference!$W$21</f>
        <v>4.8845E-2</v>
      </c>
      <c r="Y13" s="123">
        <f t="shared" si="7"/>
        <v>6.4357834526886323E-5</v>
      </c>
      <c r="Z13" s="118">
        <f>M13*Reference!$L$6</f>
        <v>59.04</v>
      </c>
      <c r="AA13" s="118">
        <f t="shared" si="0"/>
        <v>59.04</v>
      </c>
      <c r="AB13" s="118">
        <f>Z13*Reference!$L$21/(60*10^3)</f>
        <v>1.7976186765261684</v>
      </c>
      <c r="AC13" s="118">
        <f t="shared" si="1"/>
        <v>1.7976186765261684</v>
      </c>
      <c r="AD13" s="118">
        <f>N13*Reference!$F$10+Reference!$F$11</f>
        <v>22.288091941942461</v>
      </c>
      <c r="AE13" s="118">
        <f t="shared" si="2"/>
        <v>48.927912258194631</v>
      </c>
      <c r="AF13" s="118">
        <f t="shared" si="8"/>
        <v>97.855824516389262</v>
      </c>
      <c r="AG13" s="118">
        <f t="shared" si="9"/>
        <v>0.22776459196058962</v>
      </c>
      <c r="AH13" s="224">
        <f>(AE13/100)*Reference!$L$21*(H13/1000)/(Reference!$W$21)</f>
        <v>29.282847798744218</v>
      </c>
      <c r="AI13" s="224">
        <f>(AE13/100)*Reference!$L$21*(H13/1000)/(Reference!$P$26)</f>
        <v>76.080888336684112</v>
      </c>
      <c r="AJ13" s="224">
        <f>(AE13/100)*Reference!$L$21*(H13/1000)/(Reference!$P$21)</f>
        <v>175.92517280736882</v>
      </c>
      <c r="AK13" s="224">
        <f>AH13/Reference!$R$21</f>
        <v>485.45432810975069</v>
      </c>
      <c r="AL13" s="224">
        <f>AI13/(Reference!$R$21)</f>
        <v>1261.2774817298284</v>
      </c>
      <c r="AM13" s="224">
        <f>AB13/(Reference!$R$21)</f>
        <v>29.801123606836288</v>
      </c>
      <c r="AN13" s="118">
        <f t="shared" si="3"/>
        <v>28.448060460348461</v>
      </c>
      <c r="AO13" s="179">
        <f t="shared" si="10"/>
        <v>3.0579717730818616E-4</v>
      </c>
      <c r="AP13" s="123"/>
      <c r="AQ13" s="270">
        <f t="shared" si="11"/>
        <v>2.1952490318886597</v>
      </c>
      <c r="AR13" s="270">
        <f t="shared" si="12"/>
        <v>2.2060574717616293E-3</v>
      </c>
      <c r="AS13" s="270">
        <f t="shared" si="4"/>
        <v>2.1894835896938175E-3</v>
      </c>
      <c r="AT13" s="270">
        <f t="shared" si="5"/>
        <v>204.18804827168938</v>
      </c>
      <c r="AU13" s="270">
        <f t="shared" si="13"/>
        <v>7.8368556054392746</v>
      </c>
      <c r="AV13" s="270">
        <f t="shared" si="14"/>
        <v>5.4479941094102822</v>
      </c>
      <c r="AW13" s="270">
        <f t="shared" si="15"/>
        <v>2.3888614960289924</v>
      </c>
      <c r="AX13" s="270">
        <f t="shared" si="6"/>
        <v>102.08266949233746</v>
      </c>
      <c r="AY13" s="270">
        <f t="shared" si="16"/>
        <v>102.10537877935192</v>
      </c>
      <c r="AZ13" s="270">
        <f t="shared" si="17"/>
        <v>0.99977758970892672</v>
      </c>
      <c r="BD13" s="178">
        <v>45.522586348649611</v>
      </c>
      <c r="BE13" s="118">
        <v>0.22776459196058962</v>
      </c>
      <c r="BF13" s="118">
        <v>0.22776459196058962</v>
      </c>
      <c r="BG13" s="118">
        <f t="shared" si="18"/>
        <v>0.45552918392117925</v>
      </c>
      <c r="BH13" s="118">
        <v>45.522586348649611</v>
      </c>
      <c r="BI13" s="118">
        <v>29.801123606836288</v>
      </c>
      <c r="BK13" s="171" t="s">
        <v>148</v>
      </c>
      <c r="BL13" s="171" t="s">
        <v>138</v>
      </c>
      <c r="BM13" s="171" t="s">
        <v>139</v>
      </c>
      <c r="BN13" s="116" t="s">
        <v>127</v>
      </c>
    </row>
    <row r="14" spans="1:66" s="118" customFormat="1">
      <c r="A14" s="193">
        <v>52</v>
      </c>
      <c r="B14" s="69">
        <v>0.48531249999999998</v>
      </c>
      <c r="C14" s="69">
        <v>0.4866435185185185</v>
      </c>
      <c r="D14" s="69">
        <v>0.48574074074074075</v>
      </c>
      <c r="E14" s="173">
        <v>25</v>
      </c>
      <c r="F14" s="173" t="s">
        <v>165</v>
      </c>
      <c r="G14" s="190" t="s">
        <v>13</v>
      </c>
      <c r="H14" s="188">
        <v>0.76200000000000001</v>
      </c>
      <c r="I14" s="170">
        <v>101325</v>
      </c>
      <c r="J14" s="218">
        <v>44.1</v>
      </c>
      <c r="K14" s="218">
        <v>44.1</v>
      </c>
      <c r="L14" s="224">
        <v>1</v>
      </c>
      <c r="M14" s="118">
        <v>350</v>
      </c>
      <c r="N14" s="118">
        <v>42</v>
      </c>
      <c r="O14" s="118">
        <v>85</v>
      </c>
      <c r="P14" s="118">
        <v>4.0999999999999996</v>
      </c>
      <c r="Q14" s="118">
        <v>250</v>
      </c>
      <c r="R14" s="118">
        <v>62</v>
      </c>
      <c r="S14" s="118">
        <f>R14*Reference!$F$42+Reference!$F$43</f>
        <v>105.45049402335384</v>
      </c>
      <c r="T14" s="118">
        <v>34</v>
      </c>
      <c r="U14" s="118">
        <f>T14*-Reference!$F$42</f>
        <v>7.8110965245629798</v>
      </c>
      <c r="V14" s="178">
        <f>Reference!$L$21</f>
        <v>1826.8482485022037</v>
      </c>
      <c r="W14" s="6">
        <v>2264.12</v>
      </c>
      <c r="X14" s="123">
        <f>Reference!$W$21</f>
        <v>4.8845E-2</v>
      </c>
      <c r="Y14" s="123">
        <f t="shared" si="7"/>
        <v>6.4357834526886323E-5</v>
      </c>
      <c r="Z14" s="118">
        <f>M14*Reference!$L$6</f>
        <v>126</v>
      </c>
      <c r="AA14" s="118">
        <f t="shared" si="0"/>
        <v>126</v>
      </c>
      <c r="AB14" s="118">
        <f>Z14*Reference!$L$21/(60*10^3)</f>
        <v>3.8363813218546277</v>
      </c>
      <c r="AC14" s="118">
        <f t="shared" si="1"/>
        <v>3.8363813218546277</v>
      </c>
      <c r="AD14" s="118">
        <f>N14*Reference!$F$10+Reference!$F$11</f>
        <v>33.570676556049591</v>
      </c>
      <c r="AE14" s="118">
        <f t="shared" si="2"/>
        <v>460.4892229909965</v>
      </c>
      <c r="AF14" s="118">
        <f t="shared" si="8"/>
        <v>920.97844598199299</v>
      </c>
      <c r="AG14" s="118">
        <f t="shared" si="9"/>
        <v>3.6451099048528619E-2</v>
      </c>
      <c r="AH14" s="224">
        <f>(AE14/100)*Reference!$L$21*(H14/1000)/(Reference!$W$21)</f>
        <v>131.23715324437197</v>
      </c>
      <c r="AI14" s="224">
        <f>(AE14/100)*Reference!$L$21*(H14/1000)/(Reference!$P$26)</f>
        <v>340.97227394794407</v>
      </c>
      <c r="AJ14" s="224">
        <f>(AE14/100)*Reference!$L$21*(H14/1000)/(Reference!$P$21)</f>
        <v>788.44513422814703</v>
      </c>
      <c r="AK14" s="224">
        <f>AH14/Reference!$R$21</f>
        <v>2175.66421439431</v>
      </c>
      <c r="AL14" s="224">
        <f>AI14/(Reference!$R$21)</f>
        <v>5652.6765187281953</v>
      </c>
      <c r="AM14" s="224">
        <f>AB14/(Reference!$R$21)</f>
        <v>63.599958917028665</v>
      </c>
      <c r="AN14" s="118">
        <f t="shared" si="3"/>
        <v>138.38647509626489</v>
      </c>
      <c r="AO14" s="179">
        <f t="shared" si="10"/>
        <v>3.0579717730818616E-4</v>
      </c>
      <c r="AP14" s="123"/>
      <c r="AQ14" s="270">
        <f t="shared" si="11"/>
        <v>13.717007526558598</v>
      </c>
      <c r="AR14" s="270">
        <f t="shared" si="12"/>
        <v>6.3624634081813389E-2</v>
      </c>
      <c r="AS14" s="270">
        <f t="shared" si="4"/>
        <v>5.3772884580702632E-3</v>
      </c>
      <c r="AT14" s="270">
        <f t="shared" si="5"/>
        <v>313.88653995578846</v>
      </c>
      <c r="AU14" s="270">
        <f t="shared" si="13"/>
        <v>1.6064834619909936</v>
      </c>
      <c r="AV14" s="270">
        <f t="shared" si="14"/>
        <v>0.91025272261958845</v>
      </c>
      <c r="AW14" s="270">
        <f t="shared" si="15"/>
        <v>0.69623073937140512</v>
      </c>
      <c r="AX14" s="270">
        <f t="shared" si="6"/>
        <v>156.92805907983535</v>
      </c>
      <c r="AY14" s="270">
        <f t="shared" si="16"/>
        <v>156.95848087595311</v>
      </c>
      <c r="AZ14" s="270">
        <f t="shared" si="17"/>
        <v>0.99980617934151772</v>
      </c>
      <c r="BD14" s="178">
        <v>105.45049402335384</v>
      </c>
      <c r="BE14" s="118">
        <v>3.6451099048528619E-2</v>
      </c>
      <c r="BK14" s="118">
        <v>3.6451099048528619E-2</v>
      </c>
      <c r="BL14" s="118">
        <f>BK14*2</f>
        <v>7.2902198097057239E-2</v>
      </c>
      <c r="BM14" s="118">
        <v>105.45049402335384</v>
      </c>
      <c r="BN14" s="118">
        <v>63.599958917028665</v>
      </c>
    </row>
    <row r="15" spans="1:66" s="118" customFormat="1">
      <c r="A15" s="193">
        <v>52</v>
      </c>
      <c r="B15" s="69">
        <v>0.48807870370370371</v>
      </c>
      <c r="C15" s="69">
        <v>0.48913194444444441</v>
      </c>
      <c r="D15" s="69">
        <v>0.48825231481481479</v>
      </c>
      <c r="E15" s="173">
        <v>27</v>
      </c>
      <c r="F15" s="173" t="s">
        <v>166</v>
      </c>
      <c r="G15" s="190" t="s">
        <v>13</v>
      </c>
      <c r="H15" s="188">
        <v>0.76200000000000001</v>
      </c>
      <c r="I15" s="170">
        <v>101325</v>
      </c>
      <c r="J15" s="218">
        <v>44.1</v>
      </c>
      <c r="K15" s="218">
        <v>44.1</v>
      </c>
      <c r="L15" s="224">
        <v>1</v>
      </c>
      <c r="M15" s="118">
        <v>240</v>
      </c>
      <c r="N15" s="118">
        <v>29</v>
      </c>
      <c r="O15" s="118">
        <v>66</v>
      </c>
      <c r="P15" s="118">
        <v>4.0999999999999996</v>
      </c>
      <c r="Q15" s="118">
        <v>250</v>
      </c>
      <c r="R15" s="118">
        <v>192</v>
      </c>
      <c r="S15" s="118">
        <f>R15*Reference!$F$42+Reference!$F$43</f>
        <v>75.584536723554208</v>
      </c>
      <c r="T15" s="118">
        <v>30</v>
      </c>
      <c r="U15" s="118">
        <f>T15*-Reference!$F$42</f>
        <v>6.8921439922614534</v>
      </c>
      <c r="V15" s="178">
        <f>Reference!$L$21</f>
        <v>1826.8482485022037</v>
      </c>
      <c r="W15" s="6">
        <v>2264.12</v>
      </c>
      <c r="X15" s="123">
        <f>Reference!$W$21</f>
        <v>4.8845E-2</v>
      </c>
      <c r="Y15" s="123">
        <f t="shared" si="7"/>
        <v>6.4357834526886323E-5</v>
      </c>
      <c r="Z15" s="118">
        <f>M15*Reference!$L$6</f>
        <v>86.399999999999991</v>
      </c>
      <c r="AA15" s="118">
        <f t="shared" si="0"/>
        <v>86.399999999999991</v>
      </c>
      <c r="AB15" s="118">
        <f>Z15*Reference!$L$21/(60*10^3)</f>
        <v>2.6306614778431729</v>
      </c>
      <c r="AC15" s="118">
        <f t="shared" si="1"/>
        <v>2.6306614778431729</v>
      </c>
      <c r="AD15" s="118">
        <f>N15*Reference!$F$10+Reference!$F$11</f>
        <v>21.347876557433533</v>
      </c>
      <c r="AE15" s="118">
        <f t="shared" si="2"/>
        <v>315.76403862239755</v>
      </c>
      <c r="AF15" s="118">
        <f t="shared" si="8"/>
        <v>631.5280772447951</v>
      </c>
      <c r="AG15" s="118">
        <f t="shared" si="9"/>
        <v>3.3803527232817862E-2</v>
      </c>
      <c r="AH15" s="224">
        <f>(AE15/100)*Reference!$L$21*(H15/1000)/(Reference!$W$21)</f>
        <v>89.991190796140771</v>
      </c>
      <c r="AI15" s="224">
        <f>(AE15/100)*Reference!$L$21*(H15/1000)/(Reference!$P$26)</f>
        <v>233.8095592785902</v>
      </c>
      <c r="AJ15" s="224">
        <f>(AE15/100)*Reference!$L$21*(H15/1000)/(Reference!$P$21)</f>
        <v>540.64809204215794</v>
      </c>
      <c r="AK15" s="224">
        <f>AH15/Reference!$R$21</f>
        <v>1491.8840327275266</v>
      </c>
      <c r="AL15" s="224">
        <f>AI15/(Reference!$R$21)</f>
        <v>3876.121041413619</v>
      </c>
      <c r="AM15" s="224">
        <f>AB15/(Reference!$R$21)</f>
        <v>43.611400400248222</v>
      </c>
      <c r="AN15" s="118">
        <f t="shared" si="3"/>
        <v>99.192305411488462</v>
      </c>
      <c r="AO15" s="179">
        <f t="shared" si="10"/>
        <v>3.0579717730818616E-4</v>
      </c>
      <c r="AP15" s="123"/>
      <c r="AQ15" s="270">
        <f t="shared" si="11"/>
        <v>14.791355841546007</v>
      </c>
      <c r="AR15" s="270">
        <f t="shared" si="12"/>
        <v>3.0042243836487122E-2</v>
      </c>
      <c r="AS15" s="270">
        <f t="shared" si="4"/>
        <v>3.692627661792965E-3</v>
      </c>
      <c r="AT15" s="270">
        <f t="shared" si="5"/>
        <v>353.80115529405913</v>
      </c>
      <c r="AU15" s="270">
        <f t="shared" si="13"/>
        <v>2.4633238851635952</v>
      </c>
      <c r="AV15" s="270">
        <f t="shared" si="14"/>
        <v>1.3917526003276735</v>
      </c>
      <c r="AW15" s="270">
        <f t="shared" si="15"/>
        <v>1.0715712848359218</v>
      </c>
      <c r="AX15" s="270">
        <f t="shared" si="6"/>
        <v>176.88368082863991</v>
      </c>
      <c r="AY15" s="270">
        <f t="shared" si="16"/>
        <v>176.91747446541922</v>
      </c>
      <c r="AZ15" s="270">
        <f t="shared" si="17"/>
        <v>0.99980898643912131</v>
      </c>
      <c r="BD15" s="178">
        <v>75.584536723554208</v>
      </c>
      <c r="BE15" s="118">
        <v>3.3803527232817862E-2</v>
      </c>
      <c r="BK15" s="118">
        <v>3.3803527232817862E-2</v>
      </c>
      <c r="BL15" s="118">
        <f t="shared" ref="BL15:BL39" si="19">BK15*2</f>
        <v>6.7607054465635724E-2</v>
      </c>
      <c r="BM15" s="118">
        <v>75.584536723554208</v>
      </c>
      <c r="BN15" s="118">
        <v>43.611400400248222</v>
      </c>
    </row>
    <row r="16" spans="1:66" s="118" customFormat="1">
      <c r="A16" s="193">
        <v>52</v>
      </c>
      <c r="B16" s="69">
        <v>0.49276620370370372</v>
      </c>
      <c r="C16" s="69">
        <v>0.49356481481481485</v>
      </c>
      <c r="D16" s="69">
        <v>0.49285879629629631</v>
      </c>
      <c r="E16" s="173">
        <v>29</v>
      </c>
      <c r="F16" s="173" t="s">
        <v>167</v>
      </c>
      <c r="G16" s="190" t="s">
        <v>13</v>
      </c>
      <c r="H16" s="188">
        <v>0.76200000000000001</v>
      </c>
      <c r="I16" s="170">
        <v>101325</v>
      </c>
      <c r="J16" s="218">
        <v>44.1</v>
      </c>
      <c r="K16" s="218">
        <v>44.1</v>
      </c>
      <c r="L16" s="224">
        <v>1</v>
      </c>
      <c r="M16" s="118">
        <v>206</v>
      </c>
      <c r="N16" s="118">
        <v>24</v>
      </c>
      <c r="O16" s="118">
        <v>57</v>
      </c>
      <c r="P16" s="118">
        <v>4.0999999999999996</v>
      </c>
      <c r="Q16" s="118">
        <v>50</v>
      </c>
      <c r="R16" s="118">
        <v>241</v>
      </c>
      <c r="S16" s="118">
        <f>R16*Reference!$F$42+Reference!$F$43</f>
        <v>64.327368202860498</v>
      </c>
      <c r="T16" s="118">
        <v>29</v>
      </c>
      <c r="U16" s="118">
        <f>T16*-Reference!$F$42</f>
        <v>6.6624058591860713</v>
      </c>
      <c r="V16" s="178">
        <f>Reference!$L$21</f>
        <v>1826.8482485022037</v>
      </c>
      <c r="W16" s="6">
        <v>2264.12</v>
      </c>
      <c r="X16" s="123">
        <f>Reference!$W$21</f>
        <v>4.8845E-2</v>
      </c>
      <c r="Y16" s="123">
        <f t="shared" si="7"/>
        <v>6.4357834526886323E-5</v>
      </c>
      <c r="Z16" s="118">
        <f>M16*Reference!$L$6</f>
        <v>74.16</v>
      </c>
      <c r="AA16" s="118">
        <f t="shared" si="0"/>
        <v>74.16</v>
      </c>
      <c r="AB16" s="118">
        <f>Z16*Reference!$L$21/(60*10^3)</f>
        <v>2.2579844351487233</v>
      </c>
      <c r="AC16" s="118">
        <f t="shared" si="1"/>
        <v>2.2579844351487233</v>
      </c>
      <c r="AD16" s="118">
        <f>N16*Reference!$F$10+Reference!$F$11</f>
        <v>16.646799634888897</v>
      </c>
      <c r="AE16" s="118">
        <f t="shared" si="2"/>
        <v>271.03079981755792</v>
      </c>
      <c r="AF16" s="118">
        <f t="shared" si="8"/>
        <v>542.06159963511584</v>
      </c>
      <c r="AG16" s="118">
        <f t="shared" si="9"/>
        <v>3.071016217731444E-2</v>
      </c>
      <c r="AH16" s="224">
        <f>(AE16/100)*Reference!$L$21*(H16/1000)/(Reference!$W$21)</f>
        <v>77.242438766687499</v>
      </c>
      <c r="AI16" s="224">
        <f>(AE16/100)*Reference!$L$21*(H16/1000)/(Reference!$P$26)</f>
        <v>200.68653838078993</v>
      </c>
      <c r="AJ16" s="224">
        <f>(AE16/100)*Reference!$L$21*(H16/1000)/(Reference!$P$21)</f>
        <v>464.05627900285225</v>
      </c>
      <c r="AK16" s="224">
        <f>AH16/Reference!$R$21</f>
        <v>1280.5337947577939</v>
      </c>
      <c r="AL16" s="224">
        <f>AI16/(Reference!$R$21)</f>
        <v>3327.003893880023</v>
      </c>
      <c r="AM16" s="224">
        <f>AB16/(Reference!$R$21)</f>
        <v>37.433118676879722</v>
      </c>
      <c r="AN16" s="118">
        <f t="shared" si="3"/>
        <v>84.419118376457348</v>
      </c>
      <c r="AO16" s="179">
        <f t="shared" si="10"/>
        <v>3.0579717730818616E-4</v>
      </c>
      <c r="AP16" s="123"/>
      <c r="AQ16" s="270">
        <f t="shared" si="11"/>
        <v>16.281255602399568</v>
      </c>
      <c r="AR16" s="270">
        <f t="shared" si="12"/>
        <v>2.224139055647922E-2</v>
      </c>
      <c r="AS16" s="270">
        <f t="shared" si="4"/>
        <v>3.1748330875628564E-3</v>
      </c>
      <c r="AT16" s="270">
        <f t="shared" si="5"/>
        <v>386.13360755403858</v>
      </c>
      <c r="AU16" s="270">
        <f t="shared" si="13"/>
        <v>2.9063069144809139</v>
      </c>
      <c r="AV16" s="270">
        <f t="shared" si="14"/>
        <v>1.6272270440103564</v>
      </c>
      <c r="AW16" s="270">
        <f t="shared" si="15"/>
        <v>1.2790798704705575</v>
      </c>
      <c r="AX16" s="270">
        <f t="shared" si="6"/>
        <v>193.04936061055261</v>
      </c>
      <c r="AY16" s="270">
        <f t="shared" si="16"/>
        <v>193.08424694348597</v>
      </c>
      <c r="AZ16" s="270">
        <f t="shared" si="17"/>
        <v>0.99981932066708912</v>
      </c>
      <c r="BD16" s="178">
        <v>64.327368202860498</v>
      </c>
      <c r="BE16" s="118">
        <v>3.071016217731444E-2</v>
      </c>
      <c r="BK16" s="118">
        <v>3.071016217731444E-2</v>
      </c>
      <c r="BL16" s="118">
        <f t="shared" si="19"/>
        <v>6.142032435462888E-2</v>
      </c>
      <c r="BM16" s="118">
        <v>64.327368202860498</v>
      </c>
      <c r="BN16" s="118">
        <v>37.433118676879722</v>
      </c>
    </row>
    <row r="17" spans="1:66" s="118" customFormat="1">
      <c r="A17" s="193">
        <v>52</v>
      </c>
      <c r="B17" s="69">
        <v>0.67644675925925923</v>
      </c>
      <c r="C17" s="69">
        <v>0.67743055555555554</v>
      </c>
      <c r="D17" s="69">
        <v>0.67650462962962965</v>
      </c>
      <c r="E17" s="173"/>
      <c r="F17" s="173" t="s">
        <v>168</v>
      </c>
      <c r="G17" s="194" t="s">
        <v>63</v>
      </c>
      <c r="H17" s="177">
        <v>1.6002000000000001</v>
      </c>
      <c r="I17" s="170">
        <v>101325</v>
      </c>
      <c r="J17" s="218">
        <f>0.75*42.08+0.25*28.0134</f>
        <v>38.56335</v>
      </c>
      <c r="K17" s="218">
        <v>42.08</v>
      </c>
      <c r="L17" s="224">
        <v>0.75</v>
      </c>
      <c r="M17" s="118">
        <v>149</v>
      </c>
      <c r="N17" s="118">
        <v>75</v>
      </c>
      <c r="O17" s="118">
        <v>139</v>
      </c>
      <c r="P17" s="118">
        <v>3.05</v>
      </c>
      <c r="Q17" s="118">
        <v>250</v>
      </c>
      <c r="R17" s="118">
        <v>357</v>
      </c>
      <c r="S17" s="118">
        <f>R17*Reference!$F$42+Reference!$F$43</f>
        <v>37.67774476611622</v>
      </c>
      <c r="T17" s="118">
        <v>23</v>
      </c>
      <c r="U17" s="118">
        <f>T17*-Reference!$F$42</f>
        <v>5.2839770607337808</v>
      </c>
      <c r="V17" s="178">
        <f>Reference!$L$22</f>
        <v>1743.448114147531</v>
      </c>
      <c r="W17" s="6">
        <v>2317.4</v>
      </c>
      <c r="X17" s="123">
        <f>Reference!$W$23</f>
        <v>4.9485000000000001E-2</v>
      </c>
      <c r="Y17" s="123">
        <f t="shared" si="7"/>
        <v>6.4357834526886323E-5</v>
      </c>
      <c r="Z17" s="118">
        <f>M17*Reference!$L$8</f>
        <v>71.659824046920818</v>
      </c>
      <c r="AA17" s="118">
        <f t="shared" ref="AA17:AA22" si="20">Z17*0.75</f>
        <v>53.744868035190613</v>
      </c>
      <c r="AB17" s="118">
        <f>Z17*Reference!$L$23/(60*10^3)</f>
        <v>1.9080639871685179</v>
      </c>
      <c r="AC17" s="118">
        <f>AA17*Reference!$L$22/(60*1000)</f>
        <v>1.5616898136843498</v>
      </c>
      <c r="AD17" s="118">
        <f>N17*Reference!$F$10+Reference!$F$11</f>
        <v>64.597784244844206</v>
      </c>
      <c r="AE17" s="118">
        <f t="shared" si="2"/>
        <v>59.386273431663412</v>
      </c>
      <c r="AF17" s="118">
        <f t="shared" si="8"/>
        <v>118.77254686332682</v>
      </c>
      <c r="AG17" s="118">
        <f t="shared" si="9"/>
        <v>0.54387807579118219</v>
      </c>
      <c r="AH17" s="224">
        <f>(AE17/100)*Reference!$L$23*(H17/1000)/(Reference!$W$20)</f>
        <v>30.311849649698669</v>
      </c>
      <c r="AI17" s="224">
        <f>(AE17/100)*Reference!$L$23*(H17/1000)/(Reference!$P$26)</f>
        <v>80.755281997596143</v>
      </c>
      <c r="AJ17" s="224">
        <f>(AE17/100)*Reference!$L$23*(H17/1000)/(Reference!$P$23)</f>
        <v>144.10544523717701</v>
      </c>
      <c r="AK17" s="224">
        <f>AH17/Reference!$R$23</f>
        <v>394.77503493563671</v>
      </c>
      <c r="AL17" s="224">
        <f>AI17/(Reference!$R$23)</f>
        <v>1051.7394893503351</v>
      </c>
      <c r="AM17" s="224">
        <f>AB17/(Reference!$R$23)</f>
        <v>24.850216529144404</v>
      </c>
      <c r="AN17" s="118">
        <f t="shared" si="3"/>
        <v>23.545647272913524</v>
      </c>
      <c r="AO17" s="179">
        <f t="shared" si="10"/>
        <v>3.0579717730818616E-4</v>
      </c>
      <c r="AP17" s="123"/>
      <c r="AQ17" s="270">
        <f t="shared" si="11"/>
        <v>0.91932369083391985</v>
      </c>
      <c r="AR17" s="270">
        <f t="shared" si="12"/>
        <v>8.6770586970155814E-4</v>
      </c>
      <c r="AS17" s="270">
        <f t="shared" si="4"/>
        <v>1.2012593518114362E-3</v>
      </c>
      <c r="AT17" s="270">
        <f t="shared" si="5"/>
        <v>58.322170121499646</v>
      </c>
      <c r="AU17" s="270">
        <f t="shared" si="13"/>
        <v>4.4794658661505311</v>
      </c>
      <c r="AV17" s="270">
        <f t="shared" si="14"/>
        <v>3.4898785488483108</v>
      </c>
      <c r="AW17" s="270">
        <f t="shared" si="15"/>
        <v>0.98958731730222027</v>
      </c>
      <c r="AX17" s="270">
        <f t="shared" si="6"/>
        <v>29.159825622789061</v>
      </c>
      <c r="AY17" s="270">
        <f t="shared" si="16"/>
        <v>29.162344498710585</v>
      </c>
      <c r="AZ17" s="270">
        <f t="shared" si="17"/>
        <v>0.99991362574015152</v>
      </c>
      <c r="BD17" s="178">
        <v>37.67774476611622</v>
      </c>
      <c r="BE17" s="118">
        <v>0.54387807579118219</v>
      </c>
      <c r="BF17" s="118">
        <v>0.54387807579118219</v>
      </c>
      <c r="BG17" s="118">
        <f t="shared" si="18"/>
        <v>1.0877561515823644</v>
      </c>
      <c r="BH17" s="118">
        <v>37.67774476611622</v>
      </c>
      <c r="BI17" s="118">
        <v>24.850216529144404</v>
      </c>
      <c r="BK17" s="118">
        <v>7.1272374007604417E-2</v>
      </c>
      <c r="BL17" s="118">
        <f t="shared" si="19"/>
        <v>0.14254474801520883</v>
      </c>
      <c r="BM17" s="118">
        <v>39.515649830719269</v>
      </c>
      <c r="BN17" s="118">
        <v>24.850216529144404</v>
      </c>
    </row>
    <row r="18" spans="1:66" s="118" customFormat="1">
      <c r="A18" s="195">
        <v>173</v>
      </c>
      <c r="B18" s="69">
        <v>0.44285879629629626</v>
      </c>
      <c r="C18" s="184">
        <v>0.44347222222222221</v>
      </c>
      <c r="D18" s="69">
        <v>0.44332175925925926</v>
      </c>
      <c r="E18" s="173"/>
      <c r="F18" s="173" t="s">
        <v>169</v>
      </c>
      <c r="G18" s="194" t="s">
        <v>63</v>
      </c>
      <c r="H18" s="177">
        <v>1.6002000000000001</v>
      </c>
      <c r="I18" s="170">
        <v>101325</v>
      </c>
      <c r="J18" s="218">
        <f t="shared" ref="J18:J30" si="21">0.75*42.08+0.25*28.0134</f>
        <v>38.56335</v>
      </c>
      <c r="K18" s="218">
        <v>42.08</v>
      </c>
      <c r="L18" s="224">
        <v>0.75</v>
      </c>
      <c r="M18" s="118">
        <v>147</v>
      </c>
      <c r="N18" s="118">
        <v>69</v>
      </c>
      <c r="O18" s="118">
        <v>139</v>
      </c>
      <c r="P18" s="118">
        <v>3.24</v>
      </c>
      <c r="Q18" s="118">
        <v>250</v>
      </c>
      <c r="R18" s="118">
        <v>365</v>
      </c>
      <c r="S18" s="118">
        <f>R18*Reference!$B$23+Reference!$B$24</f>
        <v>35.839839701513156</v>
      </c>
      <c r="T18" s="118">
        <v>24</v>
      </c>
      <c r="U18" s="118">
        <f>T18*-Reference!$B$23</f>
        <v>5.513715193809162</v>
      </c>
      <c r="V18" s="178">
        <f>Reference!$L$22</f>
        <v>1743.448114147531</v>
      </c>
      <c r="W18" s="6">
        <v>2317.4</v>
      </c>
      <c r="X18" s="123">
        <f>Reference!$W$23</f>
        <v>4.9485000000000001E-2</v>
      </c>
      <c r="Y18" s="123">
        <f t="shared" si="7"/>
        <v>6.4357834526886323E-5</v>
      </c>
      <c r="Z18" s="118">
        <f>M18*Reference!$L$8</f>
        <v>70.697947214076251</v>
      </c>
      <c r="AA18" s="118">
        <f t="shared" si="20"/>
        <v>53.023460410557192</v>
      </c>
      <c r="AB18" s="118">
        <f>Z18*Reference!$L$23/(60*10^3)</f>
        <v>1.8824523900253165</v>
      </c>
      <c r="AC18" s="118">
        <f>AA18*Reference!$L$22/(60*1000)</f>
        <v>1.5407275343060367</v>
      </c>
      <c r="AD18" s="118">
        <f>N18*Reference!$F$10+Reference!$F$11</f>
        <v>58.956491937790645</v>
      </c>
      <c r="AE18" s="118">
        <f t="shared" si="2"/>
        <v>58.589142244661225</v>
      </c>
      <c r="AF18" s="118">
        <f t="shared" si="8"/>
        <v>117.17828448932245</v>
      </c>
      <c r="AG18" s="118">
        <f t="shared" si="9"/>
        <v>0.50313496391187473</v>
      </c>
      <c r="AH18" s="224">
        <f>(AE18/100)*Reference!$L$23*(H18/1000)/(Reference!$W$20)</f>
        <v>29.904979184602045</v>
      </c>
      <c r="AI18" s="224">
        <f>(AE18/100)*Reference!$L$23*(H18/1000)/(Reference!$P$26)</f>
        <v>79.671318480849891</v>
      </c>
      <c r="AJ18" s="224">
        <f>(AE18/100)*Reference!$L$23*(H18/1000)/(Reference!$P$23)</f>
        <v>142.17114395882567</v>
      </c>
      <c r="AK18" s="224">
        <f>AH18/Reference!$R$23</f>
        <v>389.47604117811142</v>
      </c>
      <c r="AL18" s="224">
        <f>AI18/(Reference!$R$23)</f>
        <v>1037.6221807684515</v>
      </c>
      <c r="AM18" s="224">
        <f>AB18/(Reference!$R$23)</f>
        <v>24.516656575733073</v>
      </c>
      <c r="AN18" s="118">
        <f t="shared" si="3"/>
        <v>22.397100175923732</v>
      </c>
      <c r="AO18" s="179">
        <f t="shared" si="10"/>
        <v>3.0579717730818616E-4</v>
      </c>
      <c r="AP18" s="123"/>
      <c r="AQ18" s="270">
        <f t="shared" si="11"/>
        <v>0.99376913922359833</v>
      </c>
      <c r="AR18" s="270">
        <f t="shared" si="12"/>
        <v>1.1248085564074504E-3</v>
      </c>
      <c r="AS18" s="270">
        <f t="shared" si="4"/>
        <v>1.4489530128412246E-3</v>
      </c>
      <c r="AT18" s="270">
        <f t="shared" si="5"/>
        <v>60.784012381462937</v>
      </c>
      <c r="AU18" s="270">
        <f t="shared" si="13"/>
        <v>4.4076743538429444</v>
      </c>
      <c r="AV18" s="270">
        <f t="shared" si="14"/>
        <v>3.3536660238271696</v>
      </c>
      <c r="AW18" s="270">
        <f t="shared" si="15"/>
        <v>1.0540083300157748</v>
      </c>
      <c r="AX18" s="270">
        <f t="shared" si="6"/>
        <v>30.39036090458541</v>
      </c>
      <c r="AY18" s="270">
        <f t="shared" si="16"/>
        <v>30.393651476877526</v>
      </c>
      <c r="AZ18" s="270">
        <f t="shared" si="17"/>
        <v>0.99989173488106164</v>
      </c>
      <c r="BD18" s="178">
        <v>35.839839701513156</v>
      </c>
      <c r="BE18" s="118">
        <v>0.50313496391187473</v>
      </c>
      <c r="BF18" s="118">
        <v>0.50313496391187473</v>
      </c>
      <c r="BG18" s="118">
        <f t="shared" si="18"/>
        <v>1.0062699278237495</v>
      </c>
      <c r="BH18" s="118">
        <v>35.839839701513156</v>
      </c>
      <c r="BI18" s="118">
        <v>24.516656575733073</v>
      </c>
      <c r="BK18" s="118">
        <v>6.0007741643325459E-2</v>
      </c>
      <c r="BL18" s="118">
        <f t="shared" si="19"/>
        <v>0.12001548328665092</v>
      </c>
      <c r="BM18" s="118">
        <v>21.973157245733759</v>
      </c>
      <c r="BN18" s="118">
        <v>11.674598369396699</v>
      </c>
    </row>
    <row r="19" spans="1:66" s="118" customFormat="1">
      <c r="A19" s="193">
        <v>52</v>
      </c>
      <c r="B19" s="181" t="s">
        <v>210</v>
      </c>
      <c r="C19" s="69">
        <v>0.68560185185185185</v>
      </c>
      <c r="D19" s="69">
        <v>0.68527777777777776</v>
      </c>
      <c r="E19" s="173"/>
      <c r="F19" s="173" t="s">
        <v>170</v>
      </c>
      <c r="G19" s="194" t="s">
        <v>63</v>
      </c>
      <c r="H19" s="177">
        <v>1.6002000000000001</v>
      </c>
      <c r="I19" s="170">
        <v>101325</v>
      </c>
      <c r="J19" s="218">
        <f t="shared" si="21"/>
        <v>38.56335</v>
      </c>
      <c r="K19" s="218">
        <v>42.08</v>
      </c>
      <c r="L19" s="224">
        <v>0.75</v>
      </c>
      <c r="M19" s="118">
        <v>117</v>
      </c>
      <c r="N19" s="118">
        <v>61</v>
      </c>
      <c r="O19" s="118">
        <v>119</v>
      </c>
      <c r="P19" s="118">
        <v>2.9</v>
      </c>
      <c r="Q19" s="118">
        <v>250</v>
      </c>
      <c r="R19" s="118">
        <v>383</v>
      </c>
      <c r="S19" s="118">
        <f>R19*Reference!$F$42+Reference!$F$43</f>
        <v>31.704553306156285</v>
      </c>
      <c r="T19" s="118">
        <v>26</v>
      </c>
      <c r="U19" s="118">
        <f>T19*-Reference!$F$42</f>
        <v>5.9731914599599261</v>
      </c>
      <c r="V19" s="178">
        <f>Reference!$L$22</f>
        <v>1743.448114147531</v>
      </c>
      <c r="W19" s="6">
        <v>2317.4</v>
      </c>
      <c r="X19" s="123">
        <f>Reference!$W$23</f>
        <v>4.9485000000000001E-2</v>
      </c>
      <c r="Y19" s="123">
        <f t="shared" si="7"/>
        <v>6.4357834526886323E-5</v>
      </c>
      <c r="Z19" s="118">
        <f>M19*Reference!$L$8</f>
        <v>56.269794721407628</v>
      </c>
      <c r="AA19" s="118">
        <f t="shared" si="20"/>
        <v>42.202346041055719</v>
      </c>
      <c r="AB19" s="118">
        <f>Z19*Reference!$L$23/(60*10^3)</f>
        <v>1.4982784328772927</v>
      </c>
      <c r="AC19" s="118">
        <f>AA19*Reference!$L$22/(60*1000)</f>
        <v>1.2262933436313352</v>
      </c>
      <c r="AD19" s="118">
        <f>N19*Reference!$F$10+Reference!$F$11</f>
        <v>51.43476886171922</v>
      </c>
      <c r="AE19" s="118">
        <f t="shared" si="2"/>
        <v>46.632174439628322</v>
      </c>
      <c r="AF19" s="118">
        <f t="shared" si="8"/>
        <v>93.264348879256644</v>
      </c>
      <c r="AG19" s="118">
        <f t="shared" si="9"/>
        <v>0.551494429326993</v>
      </c>
      <c r="AH19" s="224">
        <f>(AE19/100)*Reference!$L$23*(H19/1000)/(Reference!$W$20)</f>
        <v>23.801922208152643</v>
      </c>
      <c r="AI19" s="224">
        <f>(AE19/100)*Reference!$L$23*(H19/1000)/(Reference!$P$26)</f>
        <v>63.411865729656022</v>
      </c>
      <c r="AJ19" s="224">
        <f>(AE19/100)*Reference!$L$23*(H19/1000)/(Reference!$P$23)</f>
        <v>113.1566247835551</v>
      </c>
      <c r="AK19" s="224">
        <f>AH19/Reference!$R$23</f>
        <v>309.99113481523148</v>
      </c>
      <c r="AL19" s="224">
        <f>AI19/(Reference!$R$23)</f>
        <v>825.86255204019585</v>
      </c>
      <c r="AM19" s="224">
        <f>AB19/(Reference!$R$23)</f>
        <v>19.51325727456306</v>
      </c>
      <c r="AN19" s="118">
        <f t="shared" si="3"/>
        <v>19.812869207696714</v>
      </c>
      <c r="AO19" s="179">
        <f t="shared" si="10"/>
        <v>3.0579717730818616E-4</v>
      </c>
      <c r="AP19" s="123"/>
      <c r="AQ19" s="270">
        <f t="shared" si="11"/>
        <v>0.90662747148718559</v>
      </c>
      <c r="AR19" s="270">
        <f t="shared" si="12"/>
        <v>5.0183565009250452E-4</v>
      </c>
      <c r="AS19" s="270">
        <f t="shared" si="4"/>
        <v>8.9978607820489489E-4</v>
      </c>
      <c r="AT19" s="270">
        <f t="shared" si="5"/>
        <v>61.636022124738112</v>
      </c>
      <c r="AU19" s="270">
        <f t="shared" si="13"/>
        <v>5.8659064674881796</v>
      </c>
      <c r="AV19" s="270">
        <f t="shared" si="14"/>
        <v>4.6111813570154609</v>
      </c>
      <c r="AW19" s="270">
        <f t="shared" si="15"/>
        <v>1.2547251104727186</v>
      </c>
      <c r="AX19" s="270">
        <f t="shared" si="6"/>
        <v>30.816783009750345</v>
      </c>
      <c r="AY19" s="270">
        <f t="shared" si="16"/>
        <v>30.819239114987766</v>
      </c>
      <c r="AZ19" s="270">
        <f t="shared" si="17"/>
        <v>0.99992030610398075</v>
      </c>
      <c r="BD19" s="178">
        <v>31.704553306156285</v>
      </c>
      <c r="BE19" s="118">
        <v>0.551494429326993</v>
      </c>
      <c r="BF19" s="118">
        <v>0.551494429326993</v>
      </c>
      <c r="BG19" s="118">
        <f t="shared" si="18"/>
        <v>1.102988858653986</v>
      </c>
      <c r="BH19" s="118">
        <v>31.704553306156285</v>
      </c>
      <c r="BI19" s="118">
        <v>19.51325727456306</v>
      </c>
      <c r="BK19" s="118">
        <v>6.1772675221070328E-2</v>
      </c>
      <c r="BL19" s="118">
        <f t="shared" si="19"/>
        <v>0.12354535044214066</v>
      </c>
      <c r="BM19" s="118">
        <v>20.154748835313043</v>
      </c>
      <c r="BN19" s="118">
        <v>11.341038415985365</v>
      </c>
    </row>
    <row r="20" spans="1:66" s="118" customFormat="1">
      <c r="A20" s="195">
        <v>173</v>
      </c>
      <c r="B20" s="69">
        <v>0.46402777777777776</v>
      </c>
      <c r="C20" s="184">
        <v>0.46506944444444448</v>
      </c>
      <c r="D20" s="69">
        <v>0.46489583333333334</v>
      </c>
      <c r="E20" s="173"/>
      <c r="F20" s="173" t="s">
        <v>171</v>
      </c>
      <c r="G20" s="194" t="s">
        <v>63</v>
      </c>
      <c r="H20" s="177">
        <v>1.6002000000000001</v>
      </c>
      <c r="I20" s="170">
        <v>101325</v>
      </c>
      <c r="J20" s="218">
        <f t="shared" si="21"/>
        <v>38.56335</v>
      </c>
      <c r="K20" s="218">
        <v>42.08</v>
      </c>
      <c r="L20" s="224">
        <v>0.75</v>
      </c>
      <c r="M20" s="118">
        <v>105</v>
      </c>
      <c r="N20" s="118">
        <v>51</v>
      </c>
      <c r="O20" s="118">
        <v>98</v>
      </c>
      <c r="P20" s="118">
        <v>2.29</v>
      </c>
      <c r="Q20" s="118">
        <v>250</v>
      </c>
      <c r="R20" s="118">
        <v>405</v>
      </c>
      <c r="S20" s="118">
        <f>R20*Reference!$B$23+Reference!$B$24</f>
        <v>26.650314378497882</v>
      </c>
      <c r="T20" s="118">
        <v>23</v>
      </c>
      <c r="U20" s="118">
        <f>T20*-Reference!$B$23</f>
        <v>5.2839770607337808</v>
      </c>
      <c r="V20" s="178">
        <f>Reference!$L$22</f>
        <v>1743.448114147531</v>
      </c>
      <c r="W20" s="6">
        <v>2317.4</v>
      </c>
      <c r="X20" s="123">
        <f>Reference!$W$23</f>
        <v>4.9485000000000001E-2</v>
      </c>
      <c r="Y20" s="123">
        <f t="shared" si="7"/>
        <v>6.4357834526886323E-5</v>
      </c>
      <c r="Z20" s="118">
        <f>M20*Reference!$L$8</f>
        <v>50.498533724340177</v>
      </c>
      <c r="AA20" s="118">
        <f t="shared" si="20"/>
        <v>37.873900293255133</v>
      </c>
      <c r="AB20" s="118">
        <f>Z20*Reference!$L$23/(60*10^3)</f>
        <v>1.3446088500180831</v>
      </c>
      <c r="AC20" s="118">
        <f>AA20*Reference!$L$22/(60*1000)</f>
        <v>1.1005196673614548</v>
      </c>
      <c r="AD20" s="118">
        <f>N20*Reference!$F$10+Reference!$F$11</f>
        <v>42.03261501662994</v>
      </c>
      <c r="AE20" s="118">
        <f t="shared" si="2"/>
        <v>41.849387317615161</v>
      </c>
      <c r="AF20" s="118">
        <f t="shared" si="8"/>
        <v>83.698774635230322</v>
      </c>
      <c r="AG20" s="118">
        <f t="shared" si="9"/>
        <v>0.50218913239546581</v>
      </c>
      <c r="AH20" s="224">
        <f>(AE20/100)*Reference!$L$23*(H20/1000)/(Reference!$W$20)</f>
        <v>21.360699417572889</v>
      </c>
      <c r="AI20" s="224">
        <f>(AE20/100)*Reference!$L$23*(H20/1000)/(Reference!$P$26)</f>
        <v>56.908084629178489</v>
      </c>
      <c r="AJ20" s="224">
        <f>(AE20/100)*Reference!$L$23*(H20/1000)/(Reference!$P$23)</f>
        <v>101.5508171134469</v>
      </c>
      <c r="AK20" s="224">
        <f>AH20/Reference!$R$23</f>
        <v>278.19717227007959</v>
      </c>
      <c r="AL20" s="224">
        <f>AI20/(Reference!$R$23)</f>
        <v>741.15870054889388</v>
      </c>
      <c r="AM20" s="224">
        <f>AB20/(Reference!$R$23)</f>
        <v>17.51189755409505</v>
      </c>
      <c r="AN20" s="118">
        <f t="shared" si="3"/>
        <v>16.654364690974802</v>
      </c>
      <c r="AO20" s="179">
        <f t="shared" si="10"/>
        <v>3.0579717730818616E-4</v>
      </c>
      <c r="AP20" s="123"/>
      <c r="AQ20" s="270">
        <f t="shared" si="11"/>
        <v>0.99564082084965955</v>
      </c>
      <c r="AR20" s="270">
        <f t="shared" si="12"/>
        <v>5.7720112372306029E-4</v>
      </c>
      <c r="AS20" s="270">
        <f t="shared" si="4"/>
        <v>1.0389746661437977E-3</v>
      </c>
      <c r="AT20" s="270">
        <f t="shared" si="5"/>
        <v>63.397447714574568</v>
      </c>
      <c r="AU20" s="270">
        <f t="shared" si="13"/>
        <v>6.258362178327701</v>
      </c>
      <c r="AV20" s="270">
        <f t="shared" si="14"/>
        <v>4.7747877759725315</v>
      </c>
      <c r="AW20" s="270">
        <f t="shared" si="15"/>
        <v>1.4835744023551696</v>
      </c>
      <c r="AX20" s="270">
        <f t="shared" si="6"/>
        <v>31.697029019787067</v>
      </c>
      <c r="AY20" s="270">
        <f t="shared" si="16"/>
        <v>31.700418694787501</v>
      </c>
      <c r="AZ20" s="270">
        <f t="shared" si="17"/>
        <v>0.99989307160157503</v>
      </c>
      <c r="BD20" s="178">
        <v>26.650314378497882</v>
      </c>
      <c r="BE20" s="118">
        <v>0.50218913239546581</v>
      </c>
      <c r="BF20" s="118">
        <v>0.50218913239546581</v>
      </c>
      <c r="BG20" s="118">
        <f t="shared" si="18"/>
        <v>1.0043782647909316</v>
      </c>
      <c r="BH20" s="118">
        <v>26.650314378497882</v>
      </c>
      <c r="BI20" s="118">
        <v>17.51189755409505</v>
      </c>
      <c r="BK20" s="118">
        <v>6.9788742324597683E-2</v>
      </c>
      <c r="BL20" s="118">
        <f t="shared" si="19"/>
        <v>0.13957748464919537</v>
      </c>
      <c r="BM20" s="118">
        <v>43.97615819320869</v>
      </c>
      <c r="BN20" s="118">
        <v>26.017676366084075</v>
      </c>
    </row>
    <row r="21" spans="1:66" s="118" customFormat="1">
      <c r="A21" s="193">
        <v>52</v>
      </c>
      <c r="B21" s="69">
        <v>0.68214120370370368</v>
      </c>
      <c r="C21" s="69">
        <v>0.68333333333333324</v>
      </c>
      <c r="D21" s="69">
        <v>0.68287037037037035</v>
      </c>
      <c r="E21" s="173"/>
      <c r="F21" s="173" t="s">
        <v>172</v>
      </c>
      <c r="G21" s="194" t="s">
        <v>63</v>
      </c>
      <c r="H21" s="177">
        <v>1.6002000000000001</v>
      </c>
      <c r="I21" s="170">
        <v>101325</v>
      </c>
      <c r="J21" s="218">
        <f t="shared" si="21"/>
        <v>38.56335</v>
      </c>
      <c r="K21" s="218">
        <v>42.08</v>
      </c>
      <c r="L21" s="224">
        <v>0.75</v>
      </c>
      <c r="M21" s="118">
        <v>79</v>
      </c>
      <c r="N21" s="118">
        <v>37</v>
      </c>
      <c r="O21" s="118">
        <v>81</v>
      </c>
      <c r="P21" s="118">
        <v>1.66</v>
      </c>
      <c r="Q21" s="118">
        <v>250</v>
      </c>
      <c r="R21" s="118">
        <v>429</v>
      </c>
      <c r="S21" s="118">
        <f>R21*Reference!$F$42+Reference!$F$43</f>
        <v>21.13659918468872</v>
      </c>
      <c r="T21" s="118">
        <v>29</v>
      </c>
      <c r="U21" s="118">
        <f>T21*-Reference!$F$42</f>
        <v>6.6624058591860713</v>
      </c>
      <c r="V21" s="178">
        <f>Reference!$L$22</f>
        <v>1743.448114147531</v>
      </c>
      <c r="W21" s="6">
        <v>2317.4</v>
      </c>
      <c r="X21" s="123">
        <f>Reference!$W$23</f>
        <v>4.9485000000000001E-2</v>
      </c>
      <c r="Y21" s="123">
        <f t="shared" si="7"/>
        <v>6.4357834526886323E-5</v>
      </c>
      <c r="Z21" s="118">
        <f>M21*Reference!$L$8</f>
        <v>37.994134897360702</v>
      </c>
      <c r="AA21" s="118">
        <f t="shared" si="20"/>
        <v>28.495601173020525</v>
      </c>
      <c r="AB21" s="118">
        <f>Z21*Reference!$L$23/(60*10^3)</f>
        <v>1.0116580871564624</v>
      </c>
      <c r="AC21" s="118">
        <f>AA21*Reference!$L$22/(60*1000)</f>
        <v>0.82801003544338003</v>
      </c>
      <c r="AD21" s="118">
        <f>N21*Reference!$F$10+Reference!$F$11</f>
        <v>28.869599633504954</v>
      </c>
      <c r="AE21" s="118">
        <f t="shared" si="2"/>
        <v>31.486681886586641</v>
      </c>
      <c r="AF21" s="118">
        <f t="shared" si="8"/>
        <v>62.973363773173283</v>
      </c>
      <c r="AG21" s="118">
        <f t="shared" si="9"/>
        <v>0.45844144101134127</v>
      </c>
      <c r="AH21" s="224">
        <f>(AE21/100)*Reference!$L$23*(H21/1000)/(Reference!$W$20)</f>
        <v>16.071383371316742</v>
      </c>
      <c r="AI21" s="224">
        <f>(AE21/100)*Reference!$L$23*(H21/1000)/(Reference!$P$26)</f>
        <v>42.816558911477145</v>
      </c>
      <c r="AJ21" s="224">
        <f>(AE21/100)*Reference!$L$23*(H21/1000)/(Reference!$P$23)</f>
        <v>76.404900494879087</v>
      </c>
      <c r="AK21" s="224">
        <f>AH21/Reference!$R$23</f>
        <v>209.3102534222503</v>
      </c>
      <c r="AL21" s="224">
        <f>AI21/(Reference!$R$23)</f>
        <v>557.63368898440581</v>
      </c>
      <c r="AM21" s="224">
        <f>AB21/(Reference!$R$23)</f>
        <v>13.175618159747705</v>
      </c>
      <c r="AN21" s="118">
        <f t="shared" si="3"/>
        <v>13.208723400005448</v>
      </c>
      <c r="AO21" s="179">
        <f t="shared" si="10"/>
        <v>3.0579717730818616E-4</v>
      </c>
      <c r="AP21" s="123"/>
      <c r="AQ21" s="270">
        <f t="shared" si="11"/>
        <v>1.0906518374451026</v>
      </c>
      <c r="AR21" s="270">
        <f t="shared" si="12"/>
        <v>4.1364664579345993E-4</v>
      </c>
      <c r="AS21" s="270">
        <f t="shared" si="4"/>
        <v>9.0967959746191256E-4</v>
      </c>
      <c r="AT21" s="270">
        <f t="shared" si="5"/>
        <v>73.204896426150427</v>
      </c>
      <c r="AU21" s="270">
        <f t="shared" si="13"/>
        <v>8.5054054837984605</v>
      </c>
      <c r="AV21" s="270">
        <f t="shared" si="14"/>
        <v>6.3896518296176756</v>
      </c>
      <c r="AW21" s="270">
        <f t="shared" si="15"/>
        <v>2.1157536541807849</v>
      </c>
      <c r="AX21" s="270">
        <f t="shared" si="6"/>
        <v>36.600151830807391</v>
      </c>
      <c r="AY21" s="270">
        <f t="shared" si="16"/>
        <v>36.604744595343035</v>
      </c>
      <c r="AZ21" s="270">
        <f t="shared" si="17"/>
        <v>0.99987453089520451</v>
      </c>
      <c r="BD21" s="178">
        <v>21.13659918468872</v>
      </c>
      <c r="BE21" s="118">
        <v>0.45844144101134127</v>
      </c>
      <c r="BF21" s="118">
        <v>0.45844144101134127</v>
      </c>
      <c r="BG21" s="118">
        <f t="shared" si="18"/>
        <v>0.91688288202268253</v>
      </c>
      <c r="BH21" s="118">
        <v>21.13659918468872</v>
      </c>
      <c r="BI21" s="118">
        <v>13.175618159747705</v>
      </c>
      <c r="BK21" s="118">
        <v>5.8961771289588925E-2</v>
      </c>
      <c r="BL21" s="118">
        <f t="shared" si="19"/>
        <v>0.11792354257917785</v>
      </c>
      <c r="BM21" s="118">
        <v>14.213981196183823</v>
      </c>
      <c r="BN21" s="118">
        <v>7.6642196486380465</v>
      </c>
    </row>
    <row r="22" spans="1:66" s="118" customFormat="1">
      <c r="A22" s="193">
        <v>52</v>
      </c>
      <c r="B22" s="69" t="s">
        <v>65</v>
      </c>
      <c r="C22" s="181">
        <v>0.67410879629629628</v>
      </c>
      <c r="D22" s="69">
        <v>0.67359953703703701</v>
      </c>
      <c r="E22" s="173"/>
      <c r="F22" s="173" t="s">
        <v>173</v>
      </c>
      <c r="G22" s="194" t="s">
        <v>63</v>
      </c>
      <c r="H22" s="177">
        <v>1.6002000000000001</v>
      </c>
      <c r="I22" s="170">
        <v>101325</v>
      </c>
      <c r="J22" s="218">
        <f t="shared" si="21"/>
        <v>38.56335</v>
      </c>
      <c r="K22" s="218">
        <v>42.08</v>
      </c>
      <c r="L22" s="224">
        <v>0.75</v>
      </c>
      <c r="M22" s="186">
        <v>50</v>
      </c>
      <c r="N22" s="186">
        <v>20</v>
      </c>
      <c r="O22" s="186">
        <v>55</v>
      </c>
      <c r="P22" s="118">
        <v>1.1200000000000001</v>
      </c>
      <c r="Q22" s="118">
        <v>250</v>
      </c>
      <c r="R22" s="118">
        <v>458</v>
      </c>
      <c r="S22" s="118">
        <f>R22*Reference!$F$42+Reference!$F$43</f>
        <v>14.474193325502654</v>
      </c>
      <c r="T22" s="118">
        <v>27</v>
      </c>
      <c r="U22" s="118">
        <f>T22*-Reference!$F$42</f>
        <v>6.2029295930353081</v>
      </c>
      <c r="V22" s="178">
        <f>Reference!$L$22</f>
        <v>1743.448114147531</v>
      </c>
      <c r="W22" s="6">
        <v>2317.4</v>
      </c>
      <c r="X22" s="123">
        <f>Reference!$W$23</f>
        <v>4.9485000000000001E-2</v>
      </c>
      <c r="Y22" s="123">
        <f t="shared" si="7"/>
        <v>6.4357834526886323E-5</v>
      </c>
      <c r="Z22" s="118">
        <f>M22*Reference!$L$8</f>
        <v>24.046920821114369</v>
      </c>
      <c r="AA22" s="118">
        <f t="shared" si="20"/>
        <v>18.035190615835777</v>
      </c>
      <c r="AB22" s="118">
        <f>Z22*Reference!$L$23/(60*10^3)</f>
        <v>0.64028992858003952</v>
      </c>
      <c r="AC22" s="118">
        <f>AA22*Reference!$L$22/(60*1000)</f>
        <v>0.52405698445783555</v>
      </c>
      <c r="AD22" s="118">
        <f>N22*Reference!$F$10+Reference!$F$11</f>
        <v>12.885938096853188</v>
      </c>
      <c r="AE22" s="118">
        <f t="shared" si="2"/>
        <v>19.928279675054835</v>
      </c>
      <c r="AF22" s="118">
        <f t="shared" si="8"/>
        <v>39.85655935010967</v>
      </c>
      <c r="AG22" s="118">
        <f t="shared" si="9"/>
        <v>0.32330783958695447</v>
      </c>
      <c r="AH22" s="224">
        <f>(AE22/100)*Reference!$L$23*(H22/1000)/(Reference!$W$20)</f>
        <v>10.171761627415659</v>
      </c>
      <c r="AI22" s="224">
        <f>(AE22/100)*Reference!$L$23*(H22/1000)/(Reference!$P$26)</f>
        <v>27.099087918656416</v>
      </c>
      <c r="AJ22" s="224">
        <f>(AE22/100)*Reference!$L$23*(H22/1000)/(Reference!$P$23)</f>
        <v>48.357531958784229</v>
      </c>
      <c r="AK22" s="224">
        <f>AH22/Reference!$R$23</f>
        <v>132.47484393813309</v>
      </c>
      <c r="AL22" s="224">
        <f>AI22/(Reference!$R$23)</f>
        <v>352.93271454709219</v>
      </c>
      <c r="AM22" s="224">
        <f>AB22/(Reference!$R$23)</f>
        <v>8.3389988352833573</v>
      </c>
      <c r="AN22" s="118">
        <f t="shared" si="3"/>
        <v>9.045240173417481</v>
      </c>
      <c r="AO22" s="179">
        <f t="shared" si="10"/>
        <v>3.0579717730818616E-4</v>
      </c>
      <c r="AP22" s="123"/>
      <c r="AQ22" s="270">
        <f t="shared" si="11"/>
        <v>1.5465136899828367</v>
      </c>
      <c r="AR22" s="270">
        <f t="shared" si="12"/>
        <v>2.7323114901383418E-4</v>
      </c>
      <c r="AS22" s="270">
        <f t="shared" si="4"/>
        <v>7.5980215596862762E-4</v>
      </c>
      <c r="AT22" s="270">
        <f t="shared" si="5"/>
        <v>112.30119952437119</v>
      </c>
      <c r="AU22" s="270">
        <f t="shared" si="13"/>
        <v>15.275333869718677</v>
      </c>
      <c r="AV22" s="270">
        <f t="shared" si="14"/>
        <v>10.910918637391235</v>
      </c>
      <c r="AW22" s="270">
        <f t="shared" si="15"/>
        <v>4.3644152323274419</v>
      </c>
      <c r="AX22" s="270">
        <f t="shared" si="6"/>
        <v>56.145394353485585</v>
      </c>
      <c r="AY22" s="270">
        <f t="shared" si="16"/>
        <v>56.1558051708856</v>
      </c>
      <c r="AZ22" s="270">
        <f t="shared" si="17"/>
        <v>0.99981460834960278</v>
      </c>
      <c r="BD22" s="178">
        <v>14.474193325502654</v>
      </c>
      <c r="BE22" s="118">
        <v>0.32330783958695447</v>
      </c>
      <c r="BF22" s="118">
        <v>0.32330783958695447</v>
      </c>
      <c r="BG22" s="118">
        <f t="shared" si="18"/>
        <v>0.64661567917390894</v>
      </c>
      <c r="BH22" s="118">
        <v>14.474193325502654</v>
      </c>
      <c r="BI22" s="118">
        <v>8.3389988352833573</v>
      </c>
    </row>
    <row r="23" spans="1:66" s="118" customFormat="1">
      <c r="A23" s="196">
        <v>119</v>
      </c>
      <c r="B23" s="69">
        <v>0.43630787037037039</v>
      </c>
      <c r="C23" s="184">
        <v>0.43809027777777776</v>
      </c>
      <c r="D23" s="69">
        <v>0.43715277777777778</v>
      </c>
      <c r="E23" s="173"/>
      <c r="F23" s="173" t="s">
        <v>174</v>
      </c>
      <c r="G23" s="194" t="s">
        <v>63</v>
      </c>
      <c r="H23" s="177">
        <v>1.6002000000000001</v>
      </c>
      <c r="I23" s="170">
        <v>101325</v>
      </c>
      <c r="J23" s="218">
        <f t="shared" si="21"/>
        <v>38.56335</v>
      </c>
      <c r="K23" s="218">
        <v>42.08</v>
      </c>
      <c r="L23" s="224">
        <v>0.75</v>
      </c>
      <c r="M23" s="118">
        <v>49</v>
      </c>
      <c r="N23" s="118">
        <v>20</v>
      </c>
      <c r="O23" s="118">
        <v>79</v>
      </c>
      <c r="P23" s="118">
        <v>1.18</v>
      </c>
      <c r="Q23" s="118" t="s">
        <v>54</v>
      </c>
      <c r="R23" s="118">
        <v>458</v>
      </c>
      <c r="S23" s="118">
        <f>R23*Reference!$K$78+Reference!$K$79</f>
        <v>14.158540794131824</v>
      </c>
      <c r="T23" s="118">
        <v>32</v>
      </c>
      <c r="U23" s="118">
        <f>T23*-Reference!$K$78</f>
        <v>7.354680329700515</v>
      </c>
      <c r="V23" s="178">
        <f>Reference!$L$22</f>
        <v>1743.448114147531</v>
      </c>
      <c r="W23" s="6">
        <v>2317.4</v>
      </c>
      <c r="X23" s="123">
        <f>Reference!$W$23</f>
        <v>4.9485000000000001E-2</v>
      </c>
      <c r="Y23" s="123">
        <f t="shared" si="7"/>
        <v>6.4357834526886323E-5</v>
      </c>
      <c r="Z23" s="118">
        <f>M23*Reference!$L$8</f>
        <v>23.565982404692082</v>
      </c>
      <c r="AA23" s="118">
        <f>0.75*Z23</f>
        <v>17.674486803519063</v>
      </c>
      <c r="AB23" s="118">
        <f>Z23*Reference!$L$23/(60*10^3)</f>
        <v>0.62748413000843883</v>
      </c>
      <c r="AC23" s="118">
        <f>AA23*Reference!$L$22/(60*1000)</f>
        <v>0.5135758447686789</v>
      </c>
      <c r="AD23" s="118">
        <f>N23*Reference!$F$10+Reference!$F$11</f>
        <v>12.885938096853188</v>
      </c>
      <c r="AE23" s="118">
        <f t="shared" si="2"/>
        <v>19.529714081553742</v>
      </c>
      <c r="AF23" s="118">
        <f t="shared" si="8"/>
        <v>39.059428163107484</v>
      </c>
      <c r="AG23" s="118">
        <f t="shared" si="9"/>
        <v>0.32990595876219841</v>
      </c>
      <c r="AH23" s="224">
        <f>(AE23/100)*Reference!$L$23*(H23/1000)/(Reference!$W$20)</f>
        <v>9.9683263948673488</v>
      </c>
      <c r="AI23" s="224">
        <f>(AE23/100)*Reference!$L$23*(H23/1000)/(Reference!$P$26)</f>
        <v>26.557106160283297</v>
      </c>
      <c r="AJ23" s="224">
        <f>(AE23/100)*Reference!$L$23*(H23/1000)/(Reference!$P$23)</f>
        <v>47.390381319608551</v>
      </c>
      <c r="AK23" s="224">
        <f>AH23/Reference!$R$23</f>
        <v>129.82534705937047</v>
      </c>
      <c r="AL23" s="224">
        <f>AI23/(Reference!$R$23)</f>
        <v>345.87406025615047</v>
      </c>
      <c r="AM23" s="224">
        <f>AB23/(Reference!$R$23)</f>
        <v>8.1722188585776916</v>
      </c>
      <c r="AN23" s="118">
        <f t="shared" si="3"/>
        <v>8.8479819985825667</v>
      </c>
      <c r="AO23" s="179">
        <f t="shared" si="10"/>
        <v>3.0579717730818616E-4</v>
      </c>
      <c r="AP23" s="123"/>
      <c r="AQ23" s="270">
        <f t="shared" si="11"/>
        <v>1.5155834161831803</v>
      </c>
      <c r="AR23" s="270">
        <f t="shared" si="12"/>
        <v>2.5736859807731706E-4</v>
      </c>
      <c r="AS23" s="270">
        <f t="shared" si="4"/>
        <v>7.3748838259387673E-4</v>
      </c>
      <c r="AT23" s="270">
        <f t="shared" si="5"/>
        <v>109.8527405629611</v>
      </c>
      <c r="AU23" s="270">
        <f t="shared" si="13"/>
        <v>15.462375825799707</v>
      </c>
      <c r="AV23" s="270">
        <f t="shared" si="14"/>
        <v>11.075276910603641</v>
      </c>
      <c r="AW23" s="270">
        <f t="shared" si="15"/>
        <v>4.3870989151960664</v>
      </c>
      <c r="AX23" s="270">
        <f t="shared" si="6"/>
        <v>54.921360963431397</v>
      </c>
      <c r="AY23" s="270">
        <f t="shared" si="16"/>
        <v>54.931379599529706</v>
      </c>
      <c r="AZ23" s="270">
        <f t="shared" si="17"/>
        <v>0.99981761542907988</v>
      </c>
      <c r="BD23" s="178">
        <v>14.158540794131824</v>
      </c>
      <c r="BE23" s="118">
        <v>0.32990595876219841</v>
      </c>
      <c r="BF23" s="118">
        <v>0.32990595876219841</v>
      </c>
      <c r="BG23" s="118">
        <f t="shared" si="18"/>
        <v>0.65981191752439683</v>
      </c>
      <c r="BH23" s="178">
        <v>14.158540794131824</v>
      </c>
      <c r="BI23" s="118">
        <v>8.1722188585776916</v>
      </c>
    </row>
    <row r="24" spans="1:66" s="118" customFormat="1">
      <c r="A24" s="196">
        <v>119</v>
      </c>
      <c r="B24" s="69">
        <v>0.44344907407407402</v>
      </c>
      <c r="C24" s="197">
        <v>0.44457175925925929</v>
      </c>
      <c r="D24" s="69">
        <v>0.44366898148148143</v>
      </c>
      <c r="E24" s="173"/>
      <c r="F24" s="173" t="s">
        <v>175</v>
      </c>
      <c r="G24" s="194" t="s">
        <v>63</v>
      </c>
      <c r="H24" s="177">
        <v>1.6002000000000001</v>
      </c>
      <c r="I24" s="170">
        <v>101325</v>
      </c>
      <c r="J24" s="218">
        <f t="shared" si="21"/>
        <v>38.56335</v>
      </c>
      <c r="K24" s="218">
        <v>42.08</v>
      </c>
      <c r="L24" s="224">
        <v>0.75</v>
      </c>
      <c r="M24" s="186">
        <v>72</v>
      </c>
      <c r="N24" s="186">
        <v>35</v>
      </c>
      <c r="O24" s="186">
        <v>117</v>
      </c>
      <c r="P24" s="118">
        <v>1.4</v>
      </c>
      <c r="R24" s="118">
        <v>431</v>
      </c>
      <c r="S24" s="118">
        <f>R24*Reference!$K$78+Reference!$K$79</f>
        <v>20.364052322316638</v>
      </c>
      <c r="T24" s="118">
        <v>30</v>
      </c>
      <c r="U24" s="118">
        <f>T24*-Reference!$K$78</f>
        <v>6.8950128090942329</v>
      </c>
      <c r="V24" s="178">
        <f>Reference!$L$22</f>
        <v>1743.448114147531</v>
      </c>
      <c r="W24" s="6">
        <v>2317.4</v>
      </c>
      <c r="X24" s="123">
        <f>Reference!$W$23</f>
        <v>4.9485000000000001E-2</v>
      </c>
      <c r="Y24" s="123">
        <f t="shared" si="7"/>
        <v>6.4357834526886323E-5</v>
      </c>
      <c r="Z24" s="118">
        <f>M24*Reference!$L$8</f>
        <v>34.62756598240469</v>
      </c>
      <c r="AA24" s="118">
        <f>0.75*Z24</f>
        <v>25.970674486803517</v>
      </c>
      <c r="AB24" s="118">
        <f>Z24*Reference!$L$23/(60*10^3)</f>
        <v>0.92201749715525694</v>
      </c>
      <c r="AC24" s="118">
        <f>AA24*Reference!$L$22/(60*1000)</f>
        <v>0.75464205761928316</v>
      </c>
      <c r="AD24" s="118">
        <f>N24*Reference!$F$10+Reference!$F$11</f>
        <v>26.989168864487098</v>
      </c>
      <c r="AE24" s="118">
        <f t="shared" si="2"/>
        <v>28.696722732078964</v>
      </c>
      <c r="AF24" s="118">
        <f t="shared" si="8"/>
        <v>57.393445464157928</v>
      </c>
      <c r="AG24" s="118">
        <f t="shared" si="9"/>
        <v>0.47024827741595981</v>
      </c>
      <c r="AH24" s="224">
        <f>(AE24/100)*Reference!$L$23*(H24/1000)/(Reference!$W$20)</f>
        <v>14.647336743478551</v>
      </c>
      <c r="AI24" s="224">
        <f>(AE24/100)*Reference!$L$23*(H24/1000)/(Reference!$P$26)</f>
        <v>39.022686602865242</v>
      </c>
      <c r="AJ24" s="224">
        <f>(AE24/100)*Reference!$L$23*(H24/1000)/(Reference!$P$23)</f>
        <v>69.634846020649292</v>
      </c>
      <c r="AK24" s="224">
        <f>AH24/Reference!$R$23</f>
        <v>190.76377527091168</v>
      </c>
      <c r="AL24" s="224">
        <f>AI24/(Reference!$R$23)</f>
        <v>508.22310894781282</v>
      </c>
      <c r="AM24" s="224">
        <f>AB24/(Reference!$R$23)</f>
        <v>12.008158322808034</v>
      </c>
      <c r="AN24" s="118">
        <f t="shared" si="3"/>
        <v>12.725941958703061</v>
      </c>
      <c r="AO24" s="179">
        <f t="shared" si="10"/>
        <v>3.0579717730818616E-4</v>
      </c>
      <c r="AP24" s="123"/>
      <c r="AQ24" s="270">
        <f t="shared" si="11"/>
        <v>1.0632681160418653</v>
      </c>
      <c r="AR24" s="270">
        <f t="shared" si="12"/>
        <v>3.241075300260882E-4</v>
      </c>
      <c r="AS24" s="270">
        <f t="shared" si="4"/>
        <v>7.994949221130221E-4</v>
      </c>
      <c r="AT24" s="270">
        <f t="shared" si="5"/>
        <v>75.44413027025692</v>
      </c>
      <c r="AU24" s="270">
        <f t="shared" si="13"/>
        <v>9.4972814863185704</v>
      </c>
      <c r="AV24" s="270">
        <f t="shared" si="14"/>
        <v>7.2040770265915697</v>
      </c>
      <c r="AW24" s="270">
        <f t="shared" si="15"/>
        <v>2.2932044597270007</v>
      </c>
      <c r="AX24" s="270">
        <f t="shared" si="6"/>
        <v>37.719853621892476</v>
      </c>
      <c r="AY24" s="270">
        <f t="shared" si="16"/>
        <v>37.724276648364444</v>
      </c>
      <c r="AZ24" s="270">
        <f t="shared" si="17"/>
        <v>0.99988275384275238</v>
      </c>
      <c r="BD24" s="178">
        <v>20.364052322316638</v>
      </c>
      <c r="BE24" s="118">
        <v>0.47024827741595981</v>
      </c>
      <c r="BF24" s="118">
        <v>0.47024827741595981</v>
      </c>
      <c r="BG24" s="118">
        <f t="shared" si="18"/>
        <v>0.94049655483191963</v>
      </c>
      <c r="BH24" s="178">
        <v>20.364052322316638</v>
      </c>
      <c r="BI24" s="118">
        <v>12.008158322808034</v>
      </c>
    </row>
    <row r="25" spans="1:66" s="118" customFormat="1">
      <c r="A25" s="198">
        <v>136</v>
      </c>
      <c r="B25" s="69">
        <v>0.66488425925925931</v>
      </c>
      <c r="C25" s="184">
        <v>0.66622685185185182</v>
      </c>
      <c r="D25" s="69">
        <v>0.66518518518518521</v>
      </c>
      <c r="E25" s="173"/>
      <c r="F25" s="173" t="s">
        <v>176</v>
      </c>
      <c r="G25" s="194" t="s">
        <v>63</v>
      </c>
      <c r="H25" s="177">
        <v>1.6002000000000001</v>
      </c>
      <c r="I25" s="170">
        <v>101325</v>
      </c>
      <c r="J25" s="218">
        <f t="shared" si="21"/>
        <v>38.56335</v>
      </c>
      <c r="K25" s="218">
        <v>42.08</v>
      </c>
      <c r="L25" s="224">
        <v>0.75</v>
      </c>
      <c r="M25" s="118">
        <v>52</v>
      </c>
      <c r="N25" s="118">
        <v>24</v>
      </c>
      <c r="O25" s="118">
        <v>131</v>
      </c>
      <c r="P25" s="118">
        <v>1.27</v>
      </c>
      <c r="Q25" s="118">
        <v>250</v>
      </c>
      <c r="R25" s="118">
        <v>451</v>
      </c>
      <c r="S25" s="118">
        <f>R25*Reference!$F$60+Reference!$F$61</f>
        <v>15.608727809261254</v>
      </c>
      <c r="T25" s="118">
        <v>36</v>
      </c>
      <c r="U25" s="118">
        <f>T25*-Reference!$F$60</f>
        <v>8.1828378468932197</v>
      </c>
      <c r="V25" s="178">
        <f>Reference!$L$22</f>
        <v>1743.448114147531</v>
      </c>
      <c r="W25" s="6">
        <v>2317.4</v>
      </c>
      <c r="X25" s="123">
        <f>Reference!$W$23</f>
        <v>4.9485000000000001E-2</v>
      </c>
      <c r="Y25" s="123">
        <f t="shared" si="7"/>
        <v>6.4357834526886323E-5</v>
      </c>
      <c r="Z25" s="118">
        <f>M25*Reference!$L$8</f>
        <v>25.008797653958943</v>
      </c>
      <c r="AA25" s="118">
        <f>0.75*Z25</f>
        <v>18.756598240469209</v>
      </c>
      <c r="AB25" s="118">
        <f>Z25*Reference!$L$23/(60*10^3)</f>
        <v>0.66590152572324113</v>
      </c>
      <c r="AC25" s="118">
        <f>AA25*Reference!$L$22/(60*1000)</f>
        <v>0.54501926383614896</v>
      </c>
      <c r="AD25" s="118">
        <f>N25*Reference!$F$10+Reference!$F$11</f>
        <v>16.646799634888897</v>
      </c>
      <c r="AE25" s="118">
        <f t="shared" si="2"/>
        <v>20.725410862057029</v>
      </c>
      <c r="AF25" s="118">
        <f t="shared" si="8"/>
        <v>41.450821724114057</v>
      </c>
      <c r="AG25" s="118">
        <f t="shared" si="9"/>
        <v>0.4016036098315659</v>
      </c>
      <c r="AH25" s="224">
        <f>(AE25/100)*Reference!$L$23*(H25/1000)/(Reference!$W$20)</f>
        <v>10.578632092512285</v>
      </c>
      <c r="AI25" s="224">
        <f>(AE25/100)*Reference!$L$23*(H25/1000)/(Reference!$P$26)</f>
        <v>28.183051435402675</v>
      </c>
      <c r="AJ25" s="224">
        <f>(AE25/100)*Reference!$L$23*(H25/1000)/(Reference!$P$23)</f>
        <v>50.291833237135592</v>
      </c>
      <c r="AK25" s="224">
        <f>AH25/Reference!$R$23</f>
        <v>137.77383769565841</v>
      </c>
      <c r="AL25" s="224">
        <f>AI25/(Reference!$R$23)</f>
        <v>367.05002312897591</v>
      </c>
      <c r="AM25" s="224">
        <f>AB25/(Reference!$R$23)</f>
        <v>8.6725587886946922</v>
      </c>
      <c r="AN25" s="118">
        <f t="shared" si="3"/>
        <v>9.7542356013381166</v>
      </c>
      <c r="AO25" s="179">
        <f t="shared" si="10"/>
        <v>3.0579717730818616E-4</v>
      </c>
      <c r="AP25" s="123"/>
      <c r="AQ25" s="270">
        <f t="shared" si="11"/>
        <v>1.2450087294028607</v>
      </c>
      <c r="AR25" s="270">
        <f t="shared" si="12"/>
        <v>2.2813812741191185E-4</v>
      </c>
      <c r="AS25" s="270">
        <f t="shared" si="4"/>
        <v>6.8982197703033453E-4</v>
      </c>
      <c r="AT25" s="270">
        <f t="shared" si="5"/>
        <v>93.749865001954774</v>
      </c>
      <c r="AU25" s="270">
        <f t="shared" si="13"/>
        <v>13.884129081283024</v>
      </c>
      <c r="AV25" s="270">
        <f t="shared" si="14"/>
        <v>10.288105680306261</v>
      </c>
      <c r="AW25" s="270">
        <f t="shared" si="15"/>
        <v>3.5960234009767635</v>
      </c>
      <c r="AX25" s="270">
        <f t="shared" si="6"/>
        <v>46.871493283335305</v>
      </c>
      <c r="AY25" s="270">
        <f t="shared" si="16"/>
        <v>46.878371718619469</v>
      </c>
      <c r="AZ25" s="270">
        <f t="shared" si="17"/>
        <v>0.99985327060151641</v>
      </c>
      <c r="BD25" s="178">
        <v>15.608727809261254</v>
      </c>
      <c r="BE25" s="118">
        <v>0.4016036098315659</v>
      </c>
      <c r="BF25" s="118">
        <v>0.4016036098315659</v>
      </c>
      <c r="BG25" s="118">
        <f t="shared" si="18"/>
        <v>0.8032072196631318</v>
      </c>
      <c r="BH25" s="118">
        <v>15.608727809261254</v>
      </c>
      <c r="BI25" s="118">
        <v>8.6725587886946922</v>
      </c>
    </row>
    <row r="26" spans="1:66" s="118" customFormat="1">
      <c r="A26" s="198">
        <v>136</v>
      </c>
      <c r="B26" s="69">
        <v>0.66111111111111109</v>
      </c>
      <c r="C26" s="184">
        <v>0.66283564814814822</v>
      </c>
      <c r="D26" s="69">
        <v>0.66222222222222216</v>
      </c>
      <c r="E26" s="173"/>
      <c r="F26" s="173" t="s">
        <v>177</v>
      </c>
      <c r="G26" s="194" t="s">
        <v>63</v>
      </c>
      <c r="H26" s="177">
        <v>1.6002000000000001</v>
      </c>
      <c r="I26" s="170">
        <v>101325</v>
      </c>
      <c r="J26" s="218">
        <f t="shared" si="21"/>
        <v>38.56335</v>
      </c>
      <c r="K26" s="218">
        <v>42.08</v>
      </c>
      <c r="L26" s="224">
        <v>0.75</v>
      </c>
      <c r="M26" s="118">
        <v>61</v>
      </c>
      <c r="N26" s="118">
        <v>31</v>
      </c>
      <c r="O26" s="118">
        <v>131</v>
      </c>
      <c r="P26" s="118">
        <v>1.5</v>
      </c>
      <c r="Q26" s="118">
        <v>250</v>
      </c>
      <c r="R26" s="118">
        <v>441</v>
      </c>
      <c r="S26" s="118">
        <f>R26*Reference!$F$60+Reference!$F$61</f>
        <v>17.881738322287148</v>
      </c>
      <c r="T26" s="118">
        <v>36</v>
      </c>
      <c r="U26" s="118">
        <f>T26*-Reference!$F$60</f>
        <v>8.1828378468932197</v>
      </c>
      <c r="V26" s="178">
        <f>Reference!$L$22</f>
        <v>1743.448114147531</v>
      </c>
      <c r="W26" s="6">
        <v>2317.4</v>
      </c>
      <c r="X26" s="123">
        <f>Reference!$W$23</f>
        <v>4.9485000000000001E-2</v>
      </c>
      <c r="Y26" s="123">
        <f t="shared" si="7"/>
        <v>6.4357834526886323E-5</v>
      </c>
      <c r="Z26" s="118">
        <f>M26*Reference!$L$8</f>
        <v>29.337243401759533</v>
      </c>
      <c r="AA26" s="118">
        <f>0.75*Z26</f>
        <v>22.002932551319649</v>
      </c>
      <c r="AB26" s="118">
        <f>Z26*Reference!$L$23/(60*10^3)</f>
        <v>0.78115371286764834</v>
      </c>
      <c r="AC26" s="118">
        <f>AA26*Reference!$L$22/(60*1000)</f>
        <v>0.63934952103855935</v>
      </c>
      <c r="AD26" s="118">
        <f>N26*Reference!$F$10+Reference!$F$11</f>
        <v>23.22830732645139</v>
      </c>
      <c r="AE26" s="118">
        <f t="shared" si="2"/>
        <v>24.312501203566903</v>
      </c>
      <c r="AF26" s="118">
        <f t="shared" si="8"/>
        <v>48.625002407133806</v>
      </c>
      <c r="AG26" s="118">
        <f t="shared" si="9"/>
        <v>0.47770295478779345</v>
      </c>
      <c r="AH26" s="224">
        <f>(AE26/100)*Reference!$L$23*(H26/1000)/(Reference!$W$20)</f>
        <v>12.409549185447105</v>
      </c>
      <c r="AI26" s="224">
        <f>(AE26/100)*Reference!$L$23*(H26/1000)/(Reference!$P$26)</f>
        <v>33.060887260760836</v>
      </c>
      <c r="AJ26" s="224">
        <f>(AE26/100)*Reference!$L$23*(H26/1000)/(Reference!$P$23)</f>
        <v>58.996188989716764</v>
      </c>
      <c r="AK26" s="224">
        <f>AH26/Reference!$R$23</f>
        <v>161.61930960452239</v>
      </c>
      <c r="AL26" s="224">
        <f>AI26/(Reference!$R$23)</f>
        <v>430.57791174745262</v>
      </c>
      <c r="AM26" s="224">
        <f>AB26/(Reference!$R$23)</f>
        <v>10.173578579045698</v>
      </c>
      <c r="AN26" s="118">
        <f t="shared" si="3"/>
        <v>11.174689615227564</v>
      </c>
      <c r="AO26" s="179">
        <f t="shared" si="10"/>
        <v>3.0579717730818616E-4</v>
      </c>
      <c r="AP26" s="123"/>
      <c r="AQ26" s="270">
        <f t="shared" si="11"/>
        <v>1.0466755438473505</v>
      </c>
      <c r="AR26" s="270">
        <f t="shared" si="12"/>
        <v>2.2381029745147481E-4</v>
      </c>
      <c r="AS26" s="270">
        <f t="shared" si="4"/>
        <v>6.609431760917757E-4</v>
      </c>
      <c r="AT26" s="270">
        <f t="shared" si="5"/>
        <v>76.974335229345542</v>
      </c>
      <c r="AU26" s="270">
        <f t="shared" si="13"/>
        <v>11.338011065604558</v>
      </c>
      <c r="AV26" s="270">
        <f t="shared" si="14"/>
        <v>8.6525315333933044</v>
      </c>
      <c r="AW26" s="270">
        <f t="shared" si="15"/>
        <v>2.6854795322112537</v>
      </c>
      <c r="AX26" s="270">
        <f t="shared" si="6"/>
        <v>38.485011590670695</v>
      </c>
      <c r="AY26" s="270">
        <f t="shared" si="16"/>
        <v>38.489323638674847</v>
      </c>
      <c r="AZ26" s="270">
        <f t="shared" si="17"/>
        <v>0.99988796768567223</v>
      </c>
      <c r="BD26" s="178">
        <v>17.881738322287148</v>
      </c>
      <c r="BE26" s="118">
        <v>0.47770295478779345</v>
      </c>
      <c r="BF26" s="118">
        <v>0.47770295478779345</v>
      </c>
      <c r="BG26" s="118">
        <f t="shared" si="18"/>
        <v>0.95540590957558691</v>
      </c>
      <c r="BH26" s="118">
        <v>17.881738322287148</v>
      </c>
      <c r="BI26" s="118">
        <v>10.173578579045698</v>
      </c>
    </row>
    <row r="27" spans="1:66" s="118" customFormat="1">
      <c r="A27" s="193">
        <v>52</v>
      </c>
      <c r="B27" s="69">
        <v>0.729375</v>
      </c>
      <c r="C27" s="69">
        <v>0.73003472222222221</v>
      </c>
      <c r="D27" s="69">
        <v>0.72938657407407403</v>
      </c>
      <c r="E27" s="173"/>
      <c r="F27" s="173" t="s">
        <v>178</v>
      </c>
      <c r="G27" s="194" t="s">
        <v>63</v>
      </c>
      <c r="H27" s="188">
        <v>0.76200000000000001</v>
      </c>
      <c r="I27" s="170">
        <v>101325</v>
      </c>
      <c r="J27" s="218">
        <f t="shared" si="21"/>
        <v>38.56335</v>
      </c>
      <c r="K27" s="218">
        <v>42.08</v>
      </c>
      <c r="L27" s="224">
        <v>0.75</v>
      </c>
      <c r="M27" s="118">
        <v>149</v>
      </c>
      <c r="N27" s="118">
        <v>46</v>
      </c>
      <c r="O27" s="118">
        <v>97</v>
      </c>
      <c r="P27" s="118">
        <v>3.4</v>
      </c>
      <c r="R27" s="118">
        <v>349</v>
      </c>
      <c r="S27" s="118">
        <f>R27*Reference!$F$42+Reference!$F$43</f>
        <v>39.515649830719269</v>
      </c>
      <c r="T27" s="118">
        <v>21</v>
      </c>
      <c r="U27" s="118">
        <f>T27*-Reference!$F$42</f>
        <v>4.8245007945830167</v>
      </c>
      <c r="V27" s="178">
        <f>Reference!$L$22</f>
        <v>1743.448114147531</v>
      </c>
      <c r="W27" s="6">
        <v>2317.4</v>
      </c>
      <c r="X27" s="123">
        <f>Reference!$W$23</f>
        <v>4.9485000000000001E-2</v>
      </c>
      <c r="Y27" s="123">
        <f t="shared" si="7"/>
        <v>6.4357834526886323E-5</v>
      </c>
      <c r="Z27" s="118">
        <f>M27*Reference!$L$8</f>
        <v>71.659824046920818</v>
      </c>
      <c r="AA27" s="118">
        <f>Z27*0.75</f>
        <v>53.744868035190613</v>
      </c>
      <c r="AB27" s="118">
        <f>Z27*Reference!$L$23/(60*10^3)</f>
        <v>1.9080639871685179</v>
      </c>
      <c r="AC27" s="118">
        <f>AA27*Reference!$L$22/(60*1000)</f>
        <v>1.5616898136843498</v>
      </c>
      <c r="AD27" s="118">
        <f>N27*Reference!$F$10+Reference!$F$11</f>
        <v>37.331538094085303</v>
      </c>
      <c r="AE27" s="118">
        <f t="shared" si="2"/>
        <v>261.89346583363567</v>
      </c>
      <c r="AF27" s="118">
        <f t="shared" si="8"/>
        <v>523.78693166727135</v>
      </c>
      <c r="AG27" s="118">
        <f t="shared" si="9"/>
        <v>7.1272374007604417E-2</v>
      </c>
      <c r="AH27" s="224">
        <f>(AE27/100)*Reference!$L$23*(H27/1000)/(Reference!$W$20)</f>
        <v>63.654884264367205</v>
      </c>
      <c r="AI27" s="224">
        <f>(AE27/100)*Reference!$L$23*(H27/1000)/(Reference!$P$26)</f>
        <v>169.5860921949519</v>
      </c>
      <c r="AJ27" s="224">
        <f>(AE27/100)*Reference!$L$23*(H27/1000)/(Reference!$P$23)</f>
        <v>302.62143499807172</v>
      </c>
      <c r="AK27" s="224">
        <f>AH27/Reference!$R$23</f>
        <v>829.02757336483705</v>
      </c>
      <c r="AL27" s="224">
        <f>AI27/(Reference!$R$23)</f>
        <v>2208.6529276357037</v>
      </c>
      <c r="AM27" s="224">
        <f>AB27/(Reference!$R$23)</f>
        <v>24.850216529144404</v>
      </c>
      <c r="AN27" s="118">
        <f t="shared" si="3"/>
        <v>51.857808176796944</v>
      </c>
      <c r="AO27" s="179">
        <f t="shared" si="10"/>
        <v>3.0579717730818616E-4</v>
      </c>
      <c r="AP27" s="123"/>
      <c r="AQ27" s="270">
        <f t="shared" si="11"/>
        <v>7.0153408941682285</v>
      </c>
      <c r="AR27" s="270">
        <f t="shared" si="12"/>
        <v>1.8554864048034983E-2</v>
      </c>
      <c r="AS27" s="270">
        <f t="shared" si="4"/>
        <v>2.8607243788186273E-3</v>
      </c>
      <c r="AT27" s="270">
        <f t="shared" si="5"/>
        <v>105.78214386761579</v>
      </c>
      <c r="AU27" s="270">
        <f t="shared" si="13"/>
        <v>1.8358884925640138</v>
      </c>
      <c r="AV27" s="270">
        <f t="shared" si="14"/>
        <v>1.0722408372580741</v>
      </c>
      <c r="AW27" s="270">
        <f t="shared" si="15"/>
        <v>0.7636476553059397</v>
      </c>
      <c r="AX27" s="270">
        <f t="shared" si="6"/>
        <v>52.885320190614067</v>
      </c>
      <c r="AY27" s="270">
        <f t="shared" si="16"/>
        <v>52.89682367700172</v>
      </c>
      <c r="AZ27" s="270">
        <f t="shared" si="17"/>
        <v>0.9997825297326377</v>
      </c>
      <c r="BD27" s="178">
        <v>39.515649830719269</v>
      </c>
      <c r="BE27" s="118">
        <v>7.1272374007604417E-2</v>
      </c>
    </row>
    <row r="28" spans="1:66" s="118" customFormat="1">
      <c r="A28" s="198">
        <v>136</v>
      </c>
      <c r="B28" s="69">
        <v>0.72329861111111116</v>
      </c>
      <c r="C28" s="184">
        <v>0.72488425925925926</v>
      </c>
      <c r="D28" s="69">
        <v>0.7246527777777777</v>
      </c>
      <c r="E28" s="173"/>
      <c r="F28" s="173" t="s">
        <v>179</v>
      </c>
      <c r="G28" s="194" t="s">
        <v>63</v>
      </c>
      <c r="H28" s="188">
        <v>0.76200000000000001</v>
      </c>
      <c r="I28" s="170">
        <v>101325</v>
      </c>
      <c r="J28" s="218">
        <f t="shared" si="21"/>
        <v>38.56335</v>
      </c>
      <c r="K28" s="218">
        <v>42.08</v>
      </c>
      <c r="L28" s="224">
        <v>0.75</v>
      </c>
      <c r="M28" s="118">
        <v>70</v>
      </c>
      <c r="N28" s="118">
        <v>22</v>
      </c>
      <c r="O28" s="118">
        <v>134</v>
      </c>
      <c r="P28" s="118">
        <v>1.54</v>
      </c>
      <c r="Q28" s="118">
        <v>250</v>
      </c>
      <c r="R28" s="118">
        <v>423</v>
      </c>
      <c r="S28" s="118">
        <f>R28*Reference!$F$60+Reference!$F$61</f>
        <v>21.973157245733759</v>
      </c>
      <c r="T28" s="118">
        <v>36</v>
      </c>
      <c r="U28" s="118">
        <f>T28*-Reference!$F$60</f>
        <v>8.1828378468932197</v>
      </c>
      <c r="V28" s="178">
        <f>Reference!$L$22</f>
        <v>1743.448114147531</v>
      </c>
      <c r="W28" s="6">
        <v>2317.4</v>
      </c>
      <c r="X28" s="123">
        <f>Reference!$W$23</f>
        <v>4.9485000000000001E-2</v>
      </c>
      <c r="Y28" s="123">
        <f t="shared" si="7"/>
        <v>6.4357834526886323E-5</v>
      </c>
      <c r="Z28" s="118">
        <f>M28*Reference!$L$8</f>
        <v>33.665689149560116</v>
      </c>
      <c r="AA28" s="118">
        <f>Z28*0.75</f>
        <v>25.249266862170089</v>
      </c>
      <c r="AB28" s="118">
        <f>Z28*Reference!$L$23/(60*10^3)</f>
        <v>0.89640590001205533</v>
      </c>
      <c r="AC28" s="118">
        <f>AA28*Reference!$L$22/(60*1000)</f>
        <v>0.73367977824096986</v>
      </c>
      <c r="AD28" s="118">
        <f>N28*Reference!$F$10+Reference!$F$11</f>
        <v>14.766368865871041</v>
      </c>
      <c r="AE28" s="118">
        <f t="shared" si="2"/>
        <v>123.03719871378857</v>
      </c>
      <c r="AF28" s="118">
        <f t="shared" si="8"/>
        <v>246.07439742757714</v>
      </c>
      <c r="AG28" s="118">
        <f t="shared" si="9"/>
        <v>6.0007741643325459E-2</v>
      </c>
      <c r="AH28" s="224">
        <f>(AE28/100)*Reference!$L$23*(H28/1000)/(Reference!$W$20)</f>
        <v>29.904979184602041</v>
      </c>
      <c r="AI28" s="224">
        <f>(AE28/100)*Reference!$L$23*(H28/1000)/(Reference!$P$26)</f>
        <v>79.671318480849877</v>
      </c>
      <c r="AJ28" s="224">
        <f>(AE28/100)*Reference!$L$23*(H28/1000)/(Reference!$P$23)</f>
        <v>142.17114395882564</v>
      </c>
      <c r="AK28" s="224">
        <f>AH28/Reference!$R$23</f>
        <v>389.47604117811136</v>
      </c>
      <c r="AL28" s="224">
        <f>AI28/(Reference!$R$23)</f>
        <v>1037.6221807684512</v>
      </c>
      <c r="AM28" s="224">
        <f>AB28/(Reference!$R$23)</f>
        <v>11.674598369396699</v>
      </c>
      <c r="AN28" s="118">
        <f t="shared" si="3"/>
        <v>28.836164364479998</v>
      </c>
      <c r="AO28" s="179">
        <f t="shared" si="10"/>
        <v>3.0579717730818616E-4</v>
      </c>
      <c r="AP28" s="123"/>
      <c r="AQ28" s="270">
        <f t="shared" si="11"/>
        <v>8.3322582438096795</v>
      </c>
      <c r="AR28" s="270">
        <f t="shared" si="12"/>
        <v>4.1727392193206059E-3</v>
      </c>
      <c r="AS28" s="270">
        <f t="shared" si="4"/>
        <v>1.3529813184394431E-3</v>
      </c>
      <c r="AT28" s="270">
        <f t="shared" si="5"/>
        <v>148.70777205565201</v>
      </c>
      <c r="AU28" s="270">
        <f t="shared" si="13"/>
        <v>4.6073944938370914</v>
      </c>
      <c r="AV28" s="270">
        <f t="shared" si="14"/>
        <v>2.6881928267838142</v>
      </c>
      <c r="AW28" s="270">
        <f t="shared" si="15"/>
        <v>1.9192016670532772</v>
      </c>
      <c r="AX28" s="270">
        <f t="shared" si="6"/>
        <v>74.345737106109027</v>
      </c>
      <c r="AY28" s="270">
        <f t="shared" si="16"/>
        <v>74.362034949542988</v>
      </c>
      <c r="AZ28" s="270">
        <f t="shared" si="17"/>
        <v>0.99978083112646099</v>
      </c>
      <c r="BD28" s="178">
        <v>21.973157245733759</v>
      </c>
      <c r="BE28" s="118">
        <v>6.0007741643325459E-2</v>
      </c>
    </row>
    <row r="29" spans="1:66" s="118" customFormat="1">
      <c r="A29" s="198">
        <v>136</v>
      </c>
      <c r="B29" s="69">
        <v>0.72329861111111116</v>
      </c>
      <c r="C29" s="184">
        <v>0.72488425925925926</v>
      </c>
      <c r="D29" s="69">
        <v>0.72351851851851856</v>
      </c>
      <c r="E29" s="173"/>
      <c r="F29" s="173" t="s">
        <v>180</v>
      </c>
      <c r="G29" s="194" t="s">
        <v>63</v>
      </c>
      <c r="H29" s="188">
        <v>0.76200000000000001</v>
      </c>
      <c r="I29" s="170">
        <v>101325</v>
      </c>
      <c r="J29" s="218">
        <f t="shared" si="21"/>
        <v>38.56335</v>
      </c>
      <c r="K29" s="218">
        <v>42.08</v>
      </c>
      <c r="L29" s="224">
        <v>0.75</v>
      </c>
      <c r="M29" s="118">
        <v>68</v>
      </c>
      <c r="N29" s="118">
        <v>22</v>
      </c>
      <c r="O29" s="118">
        <v>134</v>
      </c>
      <c r="P29" s="118">
        <v>1.54</v>
      </c>
      <c r="Q29" s="118">
        <v>250</v>
      </c>
      <c r="R29" s="118">
        <v>431</v>
      </c>
      <c r="S29" s="118">
        <f>R29*Reference!$F$60+Reference!$F$61</f>
        <v>20.154748835313043</v>
      </c>
      <c r="T29" s="118">
        <v>29</v>
      </c>
      <c r="U29" s="118">
        <f>T29*-Reference!$F$60</f>
        <v>6.5917304877750933</v>
      </c>
      <c r="V29" s="178">
        <f>Reference!$L$22</f>
        <v>1743.448114147531</v>
      </c>
      <c r="W29" s="6">
        <v>2317.4</v>
      </c>
      <c r="X29" s="123">
        <f>Reference!$W$23</f>
        <v>4.9485000000000001E-2</v>
      </c>
      <c r="Y29" s="123">
        <f t="shared" si="7"/>
        <v>6.4357834526886323E-5</v>
      </c>
      <c r="Z29" s="118">
        <f>M29*Reference!$L$8</f>
        <v>32.703812316715542</v>
      </c>
      <c r="AA29" s="118">
        <f>Z29*0.75</f>
        <v>24.527859237536656</v>
      </c>
      <c r="AB29" s="118">
        <f>Z29*Reference!$L$23/(60*10^3)</f>
        <v>0.87079430286885373</v>
      </c>
      <c r="AC29" s="118">
        <f>AA29*Reference!$L$22/(60*1000)</f>
        <v>0.71271749886265634</v>
      </c>
      <c r="AD29" s="118">
        <f>N29*Reference!$F$10+Reference!$F$11</f>
        <v>14.766368865871041</v>
      </c>
      <c r="AE29" s="118">
        <f t="shared" si="2"/>
        <v>119.5218501791089</v>
      </c>
      <c r="AF29" s="118">
        <f t="shared" si="8"/>
        <v>239.04370035821779</v>
      </c>
      <c r="AG29" s="118">
        <f t="shared" si="9"/>
        <v>6.1772675221070328E-2</v>
      </c>
      <c r="AH29" s="224">
        <f>(AE29/100)*Reference!$L$23*(H29/1000)/(Reference!$W$20)</f>
        <v>29.050551207899129</v>
      </c>
      <c r="AI29" s="224">
        <f>(AE29/100)*Reference!$L$23*(H29/1000)/(Reference!$P$26)</f>
        <v>77.394995095682745</v>
      </c>
      <c r="AJ29" s="224">
        <f>(AE29/100)*Reference!$L$23*(H29/1000)/(Reference!$P$23)</f>
        <v>138.10911127428778</v>
      </c>
      <c r="AK29" s="224">
        <f>AH29/Reference!$R$23</f>
        <v>378.34815428730826</v>
      </c>
      <c r="AL29" s="224">
        <f>AI29/(Reference!$R$23)</f>
        <v>1007.9758327464956</v>
      </c>
      <c r="AM29" s="224">
        <f>AB29/(Reference!$R$23)</f>
        <v>11.341038415985365</v>
      </c>
      <c r="AN29" s="118">
        <f t="shared" si="3"/>
        <v>26.449801621145724</v>
      </c>
      <c r="AO29" s="179">
        <f t="shared" si="10"/>
        <v>3.0579717730818616E-4</v>
      </c>
      <c r="AP29" s="123"/>
      <c r="AQ29" s="270">
        <f t="shared" si="11"/>
        <v>8.094193722557975</v>
      </c>
      <c r="AR29" s="270">
        <f t="shared" si="12"/>
        <v>3.9262474605842044E-3</v>
      </c>
      <c r="AS29" s="270">
        <f t="shared" si="4"/>
        <v>1.3129662172472558E-3</v>
      </c>
      <c r="AT29" s="270">
        <f t="shared" si="5"/>
        <v>136.40082565158016</v>
      </c>
      <c r="AU29" s="270">
        <f t="shared" si="13"/>
        <v>4.5165377002117975</v>
      </c>
      <c r="AV29" s="270">
        <f t="shared" si="14"/>
        <v>2.6280168765889487</v>
      </c>
      <c r="AW29" s="270">
        <f t="shared" si="15"/>
        <v>1.8885208236228488</v>
      </c>
      <c r="AX29" s="270">
        <f t="shared" si="6"/>
        <v>68.193039369949886</v>
      </c>
      <c r="AY29" s="270">
        <f t="shared" si="16"/>
        <v>68.207786281630277</v>
      </c>
      <c r="AZ29" s="270">
        <f t="shared" si="17"/>
        <v>0.99978379430730235</v>
      </c>
      <c r="BD29" s="178">
        <v>20.154748835313043</v>
      </c>
      <c r="BE29" s="118">
        <v>6.1772675221070328E-2</v>
      </c>
    </row>
    <row r="30" spans="1:66" s="118" customFormat="1">
      <c r="A30" s="195">
        <v>173</v>
      </c>
      <c r="B30" s="69">
        <v>0.52741898148148147</v>
      </c>
      <c r="C30" s="184">
        <v>0.52868055555555549</v>
      </c>
      <c r="D30" s="69">
        <v>0.52828703703703705</v>
      </c>
      <c r="E30" s="173"/>
      <c r="F30" s="173" t="s">
        <v>181</v>
      </c>
      <c r="G30" s="194" t="s">
        <v>63</v>
      </c>
      <c r="H30" s="188">
        <v>0.76200000000000001</v>
      </c>
      <c r="I30" s="170">
        <v>101325</v>
      </c>
      <c r="J30" s="218">
        <f t="shared" si="21"/>
        <v>38.56335</v>
      </c>
      <c r="K30" s="218">
        <v>42.08</v>
      </c>
      <c r="L30" s="224">
        <v>0.75</v>
      </c>
      <c r="M30" s="118">
        <v>156</v>
      </c>
      <c r="N30" s="118">
        <v>47</v>
      </c>
      <c r="O30" s="118">
        <v>101</v>
      </c>
      <c r="P30" s="118">
        <v>3.72</v>
      </c>
      <c r="Q30" s="118">
        <v>250</v>
      </c>
      <c r="R30" s="118">
        <v>328</v>
      </c>
      <c r="S30" s="118">
        <f>R30*Reference!$B$78+Reference!$B$79</f>
        <v>43.97615819320869</v>
      </c>
      <c r="T30" s="118">
        <v>25</v>
      </c>
      <c r="U30" s="118">
        <f>T30*-Reference!$B$78</f>
        <v>5.6474599420037404</v>
      </c>
      <c r="V30" s="178">
        <f>Reference!$L$22</f>
        <v>1743.448114147531</v>
      </c>
      <c r="W30" s="6">
        <v>2317.4</v>
      </c>
      <c r="X30" s="123">
        <f>Reference!$W$23</f>
        <v>4.9485000000000001E-2</v>
      </c>
      <c r="Y30" s="123">
        <f t="shared" si="7"/>
        <v>6.4357834526886323E-5</v>
      </c>
      <c r="Z30" s="118">
        <f>M30*Reference!$L$8</f>
        <v>75.026392961876837</v>
      </c>
      <c r="AA30" s="118">
        <f>Z30*0.75</f>
        <v>56.269794721407628</v>
      </c>
      <c r="AB30" s="118">
        <f>Z30*Reference!$L$23/(60*10^3)</f>
        <v>1.9977045771697235</v>
      </c>
      <c r="AC30" s="118">
        <f>AA30*Reference!$L$22/(60*1000)</f>
        <v>1.635057791508447</v>
      </c>
      <c r="AD30" s="118">
        <f>N30*Reference!$F$10+Reference!$F$11</f>
        <v>38.271753478594235</v>
      </c>
      <c r="AE30" s="118">
        <f t="shared" si="2"/>
        <v>274.19718570501453</v>
      </c>
      <c r="AF30" s="118">
        <f t="shared" si="8"/>
        <v>548.39437141002907</v>
      </c>
      <c r="AG30" s="118">
        <f t="shared" si="9"/>
        <v>6.9788742324597683E-2</v>
      </c>
      <c r="AH30" s="224">
        <f>(AE30/100)*Reference!$L$23*(H30/1000)/(Reference!$W$20)</f>
        <v>66.645382182827419</v>
      </c>
      <c r="AI30" s="224">
        <f>(AE30/100)*Reference!$L$23*(H30/1000)/(Reference!$P$26)</f>
        <v>177.55322404303689</v>
      </c>
      <c r="AJ30" s="224">
        <f>(AE30/100)*Reference!$L$23*(H30/1000)/(Reference!$P$23)</f>
        <v>316.83854939395434</v>
      </c>
      <c r="AK30" s="224">
        <f>AH30/Reference!$R$23</f>
        <v>867.97517748264841</v>
      </c>
      <c r="AL30" s="224">
        <f>AI30/(Reference!$R$23)</f>
        <v>2312.415145712549</v>
      </c>
      <c r="AM30" s="224">
        <f>AB30/(Reference!$R$23)</f>
        <v>26.017676366084075</v>
      </c>
      <c r="AN30" s="118">
        <f t="shared" si="3"/>
        <v>57.711493691874921</v>
      </c>
      <c r="AO30" s="179">
        <f t="shared" si="10"/>
        <v>3.0579717730818616E-4</v>
      </c>
      <c r="AP30" s="123"/>
      <c r="AQ30" s="270">
        <f t="shared" si="11"/>
        <v>7.16447930347314</v>
      </c>
      <c r="AR30" s="270">
        <f t="shared" si="12"/>
        <v>2.0389908925607905E-2</v>
      </c>
      <c r="AS30" s="270">
        <f t="shared" si="4"/>
        <v>2.9977952666002685E-3</v>
      </c>
      <c r="AT30" s="270">
        <f t="shared" si="5"/>
        <v>114.83139851871596</v>
      </c>
      <c r="AU30" s="270">
        <f t="shared" si="13"/>
        <v>1.8419854125803985</v>
      </c>
      <c r="AV30" s="270">
        <f t="shared" si="14"/>
        <v>1.080054728651398</v>
      </c>
      <c r="AW30" s="270">
        <f t="shared" si="15"/>
        <v>0.76193068392900054</v>
      </c>
      <c r="AX30" s="270">
        <f t="shared" si="6"/>
        <v>57.40934354034588</v>
      </c>
      <c r="AY30" s="270">
        <f t="shared" si="16"/>
        <v>57.422054978370078</v>
      </c>
      <c r="AZ30" s="270">
        <f t="shared" si="17"/>
        <v>0.99977863143300971</v>
      </c>
      <c r="BD30" s="178">
        <v>43.97615819320869</v>
      </c>
      <c r="BE30" s="118">
        <v>6.9788742324597683E-2</v>
      </c>
    </row>
    <row r="31" spans="1:66" s="118" customFormat="1">
      <c r="A31" s="199" t="s">
        <v>66</v>
      </c>
      <c r="B31" s="69">
        <v>0.40224537037037034</v>
      </c>
      <c r="C31" s="184">
        <v>0.40339120370370374</v>
      </c>
      <c r="D31" s="69">
        <v>0.4029282407407408</v>
      </c>
      <c r="E31" s="173" t="s">
        <v>67</v>
      </c>
      <c r="F31" s="173" t="s">
        <v>182</v>
      </c>
      <c r="G31" s="177" t="s">
        <v>68</v>
      </c>
      <c r="H31" s="177">
        <v>1.6002000000000001</v>
      </c>
      <c r="I31" s="170">
        <v>101325</v>
      </c>
      <c r="J31" s="218">
        <f>0.5*42.08+0.5*28.0134</f>
        <v>35.046700000000001</v>
      </c>
      <c r="K31" s="218">
        <v>42.08</v>
      </c>
      <c r="L31" s="224">
        <v>0.5</v>
      </c>
      <c r="M31" s="186">
        <v>205</v>
      </c>
      <c r="N31" s="186">
        <v>49</v>
      </c>
      <c r="O31" s="186">
        <v>106</v>
      </c>
      <c r="P31" s="118">
        <v>3.78</v>
      </c>
      <c r="Q31" s="118">
        <v>250</v>
      </c>
      <c r="R31" s="118">
        <v>338</v>
      </c>
      <c r="S31" s="118">
        <f>R31*Reference!$J$42+Reference!$F$43</f>
        <v>41.72808115184219</v>
      </c>
      <c r="T31" s="118">
        <v>26</v>
      </c>
      <c r="U31" s="118">
        <f>T31*-Reference!$J$42</f>
        <v>5.997398240168101</v>
      </c>
      <c r="V31" s="178">
        <f>Reference!$L$22</f>
        <v>1743.448114147531</v>
      </c>
      <c r="W31" s="6">
        <v>2288.3000000000002</v>
      </c>
      <c r="X31" s="123">
        <f>Reference!$W$24</f>
        <v>4.9135999999999999E-2</v>
      </c>
      <c r="Y31" s="123">
        <f t="shared" si="7"/>
        <v>6.4357834526886323E-5</v>
      </c>
      <c r="Z31" s="118">
        <f>M31*Reference!$L$9</f>
        <v>119.21985815602838</v>
      </c>
      <c r="AA31" s="118">
        <f t="shared" ref="AA31:AA37" si="22">Z31*0.5</f>
        <v>59.60992907801419</v>
      </c>
      <c r="AB31" s="118">
        <f>Z31*Reference!$L$24/(60*10^3)</f>
        <v>2.8846333510691733</v>
      </c>
      <c r="AC31" s="118">
        <f>AA31*Reference!$L$22/(60*1000)</f>
        <v>1.7321136405921984</v>
      </c>
      <c r="AD31" s="118">
        <f>N31*Reference!$F$10+Reference!$F$11</f>
        <v>40.152184247612084</v>
      </c>
      <c r="AE31" s="118">
        <f t="shared" si="2"/>
        <v>98.800453240050246</v>
      </c>
      <c r="AF31" s="118">
        <f t="shared" si="8"/>
        <v>197.60090648010049</v>
      </c>
      <c r="AG31" s="118">
        <f t="shared" si="9"/>
        <v>0.20319838083159619</v>
      </c>
      <c r="AH31" s="224">
        <f>(AE31/100)*Reference!$L$24*(H31/1000)/(Reference!$W$24)</f>
        <v>46.711807640619078</v>
      </c>
      <c r="AI31" s="224">
        <f>(AE31/100)*Reference!$L$24*(H31/1000)/(Reference!$P$26)</f>
        <v>122.08677554412014</v>
      </c>
      <c r="AJ31" s="224">
        <f>(AE31/100)*Reference!$L$24*(H31/1000)/(Reference!$P$24)</f>
        <v>181.00980891454523</v>
      </c>
      <c r="AK31" s="224">
        <f>AH31/Reference!$R$24</f>
        <v>458.71789666705467</v>
      </c>
      <c r="AL31" s="224">
        <f>AI31/(Reference!$R$24)</f>
        <v>1198.9129026932126</v>
      </c>
      <c r="AM31" s="224">
        <f>AB31/(Reference!$R$24)</f>
        <v>28.327590181019843</v>
      </c>
      <c r="AN31" s="118">
        <f t="shared" si="3"/>
        <v>26.07679112101124</v>
      </c>
      <c r="AO31" s="179">
        <f t="shared" si="10"/>
        <v>3.0579717730818616E-4</v>
      </c>
      <c r="AP31" s="123"/>
      <c r="AQ31" s="270">
        <f t="shared" si="11"/>
        <v>2.4606495285726844</v>
      </c>
      <c r="AR31" s="270">
        <f t="shared" si="12"/>
        <v>9.0652600745397965E-3</v>
      </c>
      <c r="AS31" s="270">
        <f t="shared" si="4"/>
        <v>4.3181964003909425E-3</v>
      </c>
      <c r="AT31" s="270">
        <f t="shared" si="5"/>
        <v>103.87899458566204</v>
      </c>
      <c r="AU31" s="270">
        <f t="shared" si="13"/>
        <v>2.7056919991149209</v>
      </c>
      <c r="AV31" s="270">
        <f t="shared" si="14"/>
        <v>1.7035133392135844</v>
      </c>
      <c r="AW31" s="270">
        <f t="shared" si="15"/>
        <v>1.0021786599013365</v>
      </c>
      <c r="AX31" s="270">
        <f t="shared" si="6"/>
        <v>51.933559463993319</v>
      </c>
      <c r="AY31" s="270">
        <f t="shared" si="16"/>
        <v>51.945435121668723</v>
      </c>
      <c r="AZ31" s="270">
        <f t="shared" si="17"/>
        <v>0.99977138207337013</v>
      </c>
      <c r="BD31" s="178">
        <v>41.72808115184219</v>
      </c>
      <c r="BE31" s="118">
        <v>0.20319838083159619</v>
      </c>
      <c r="BF31" s="118">
        <v>0.20319838083159619</v>
      </c>
      <c r="BG31" s="118">
        <f t="shared" si="18"/>
        <v>0.40639676166319239</v>
      </c>
      <c r="BH31" s="118">
        <v>41.72808115184219</v>
      </c>
      <c r="BI31" s="118">
        <v>28.327590181019843</v>
      </c>
    </row>
    <row r="32" spans="1:66" s="118" customFormat="1">
      <c r="A32" s="199" t="s">
        <v>66</v>
      </c>
      <c r="B32" s="69">
        <v>0.40016203703703707</v>
      </c>
      <c r="C32" s="184">
        <v>0.4013194444444444</v>
      </c>
      <c r="D32" s="69">
        <v>0.40103009259259265</v>
      </c>
      <c r="E32" s="173">
        <v>59</v>
      </c>
      <c r="F32" s="173" t="s">
        <v>183</v>
      </c>
      <c r="G32" s="177" t="s">
        <v>68</v>
      </c>
      <c r="H32" s="177">
        <v>1.6002000000000001</v>
      </c>
      <c r="I32" s="170">
        <v>101325</v>
      </c>
      <c r="J32" s="218">
        <f t="shared" ref="J32:J37" si="23">0.5*42.08+0.5*28.0134</f>
        <v>35.046700000000001</v>
      </c>
      <c r="K32" s="218">
        <v>42.08</v>
      </c>
      <c r="L32" s="224">
        <v>0.5</v>
      </c>
      <c r="M32" s="118">
        <v>156</v>
      </c>
      <c r="N32" s="118">
        <v>34</v>
      </c>
      <c r="O32" s="118">
        <v>81</v>
      </c>
      <c r="P32" s="118">
        <v>2.78</v>
      </c>
      <c r="Q32" s="118">
        <v>250</v>
      </c>
      <c r="R32" s="118">
        <v>378</v>
      </c>
      <c r="S32" s="118">
        <f>R32*Reference!$J$42+Reference!$F$43</f>
        <v>32.501314628506648</v>
      </c>
      <c r="T32" s="118">
        <v>24</v>
      </c>
      <c r="U32" s="118">
        <f>T32*-Reference!$J$42</f>
        <v>5.5360599140013242</v>
      </c>
      <c r="V32" s="178">
        <f>Reference!$L$22</f>
        <v>1743.448114147531</v>
      </c>
      <c r="W32" s="6">
        <v>2288.3000000000002</v>
      </c>
      <c r="X32" s="123">
        <f>Reference!$W$24</f>
        <v>4.9135999999999999E-2</v>
      </c>
      <c r="Y32" s="123">
        <f t="shared" si="7"/>
        <v>6.4357834526886323E-5</v>
      </c>
      <c r="Z32" s="118">
        <f>M32*Reference!$L$9</f>
        <v>90.723404255319153</v>
      </c>
      <c r="AA32" s="118">
        <f t="shared" si="22"/>
        <v>45.361702127659576</v>
      </c>
      <c r="AB32" s="118">
        <f>Z32*Reference!$L$24/(60*10^3)</f>
        <v>2.1951356232526389</v>
      </c>
      <c r="AC32" s="118">
        <f>AA32*Reference!$L$22/(60*1000)</f>
        <v>1.3180962338165021</v>
      </c>
      <c r="AD32" s="118">
        <f>N32*Reference!$F$10+Reference!$F$11</f>
        <v>26.048953479978174</v>
      </c>
      <c r="AE32" s="118">
        <f t="shared" si="2"/>
        <v>75.18473514852603</v>
      </c>
      <c r="AF32" s="118">
        <f t="shared" si="8"/>
        <v>150.36947029705206</v>
      </c>
      <c r="AG32" s="118">
        <f t="shared" si="9"/>
        <v>0.17323299356258259</v>
      </c>
      <c r="AH32" s="224">
        <f>(AE32/100)*Reference!$L$24*(H32/1000)/(Reference!$W$24)</f>
        <v>35.546546302129634</v>
      </c>
      <c r="AI32" s="224">
        <f>(AE32/100)*Reference!$L$24*(H32/1000)/(Reference!$P$26)</f>
        <v>92.905058462842632</v>
      </c>
      <c r="AJ32" s="224">
        <f>(AE32/100)*Reference!$L$24*(H32/1000)/(Reference!$P$24)</f>
        <v>137.74404971058073</v>
      </c>
      <c r="AK32" s="224">
        <f>AH32/Reference!$R$24</f>
        <v>349.07313112224642</v>
      </c>
      <c r="AL32" s="224">
        <f>AI32/(Reference!$R$24)</f>
        <v>912.3434771714202</v>
      </c>
      <c r="AM32" s="224">
        <f>AB32/(Reference!$R$24)</f>
        <v>21.556605210922417</v>
      </c>
      <c r="AN32" s="118">
        <f t="shared" si="3"/>
        <v>20.310782794967285</v>
      </c>
      <c r="AO32" s="179">
        <f t="shared" si="10"/>
        <v>3.0579717730818616E-4</v>
      </c>
      <c r="AP32" s="123"/>
      <c r="AQ32" s="270">
        <f t="shared" si="11"/>
        <v>2.8862862074791122</v>
      </c>
      <c r="AR32" s="270">
        <f t="shared" si="12"/>
        <v>5.5889536064184708E-3</v>
      </c>
      <c r="AS32" s="270">
        <f t="shared" si="4"/>
        <v>3.3717002729176018E-3</v>
      </c>
      <c r="AT32" s="270">
        <f t="shared" si="5"/>
        <v>124.70947112252833</v>
      </c>
      <c r="AU32" s="270">
        <f t="shared" si="13"/>
        <v>3.7699390107134745</v>
      </c>
      <c r="AV32" s="270">
        <f t="shared" si="14"/>
        <v>2.3302624020761713</v>
      </c>
      <c r="AW32" s="270">
        <f t="shared" si="15"/>
        <v>1.4396766086373032</v>
      </c>
      <c r="AX32" s="270">
        <f t="shared" si="6"/>
        <v>62.347570048810049</v>
      </c>
      <c r="AY32" s="270">
        <f t="shared" si="16"/>
        <v>62.361901073718279</v>
      </c>
      <c r="AZ32" s="270">
        <f t="shared" si="17"/>
        <v>0.9997701958301225</v>
      </c>
      <c r="BD32" s="178">
        <v>32.501314628506648</v>
      </c>
      <c r="BE32" s="118">
        <v>0.17323299356258259</v>
      </c>
      <c r="BF32" s="118">
        <v>0.17323299356258259</v>
      </c>
      <c r="BG32" s="118">
        <f t="shared" si="18"/>
        <v>0.34646598712516519</v>
      </c>
      <c r="BH32" s="118">
        <v>32.501314628506648</v>
      </c>
      <c r="BI32" s="118">
        <v>21.556605210922417</v>
      </c>
    </row>
    <row r="33" spans="1:66" s="118" customFormat="1">
      <c r="A33" s="200">
        <v>167</v>
      </c>
      <c r="B33" s="69">
        <v>0.38902777777777775</v>
      </c>
      <c r="C33" s="184">
        <v>0.3915393518518519</v>
      </c>
      <c r="D33" s="69">
        <v>0.39138888888888884</v>
      </c>
      <c r="E33" s="173"/>
      <c r="F33" s="173" t="s">
        <v>184</v>
      </c>
      <c r="G33" s="177" t="s">
        <v>68</v>
      </c>
      <c r="H33" s="177">
        <v>1.6002000000000001</v>
      </c>
      <c r="I33" s="170">
        <v>101325</v>
      </c>
      <c r="J33" s="218">
        <f t="shared" si="23"/>
        <v>35.046700000000001</v>
      </c>
      <c r="K33" s="218">
        <v>42.08</v>
      </c>
      <c r="L33" s="224">
        <v>0.5</v>
      </c>
      <c r="M33" s="118">
        <v>115</v>
      </c>
      <c r="N33" s="118">
        <v>20</v>
      </c>
      <c r="O33" s="118">
        <v>55</v>
      </c>
      <c r="P33" s="118">
        <v>2.16</v>
      </c>
      <c r="Q33" s="118">
        <v>250</v>
      </c>
      <c r="R33" s="118">
        <v>406</v>
      </c>
      <c r="S33" s="118">
        <f>R33*Reference!$N$60+Reference!$N$61</f>
        <v>26.515626471498351</v>
      </c>
      <c r="T33" s="118">
        <v>37</v>
      </c>
      <c r="U33" s="118">
        <f>T33*-Reference!$N$60</f>
        <v>8.5062293830069535</v>
      </c>
      <c r="V33" s="178">
        <f>Reference!$L$22</f>
        <v>1743.448114147531</v>
      </c>
      <c r="W33" s="6">
        <v>2288.3000000000002</v>
      </c>
      <c r="X33" s="123">
        <f>Reference!$W$24</f>
        <v>4.9135999999999999E-2</v>
      </c>
      <c r="Y33" s="123">
        <f t="shared" si="7"/>
        <v>6.4357834526886323E-5</v>
      </c>
      <c r="Z33" s="118">
        <f>M33*Reference!$L$9</f>
        <v>66.879432624113477</v>
      </c>
      <c r="AA33" s="118">
        <f t="shared" si="22"/>
        <v>33.439716312056738</v>
      </c>
      <c r="AB33" s="118">
        <f>Z33*Reference!$L$24/(60*10^3)</f>
        <v>1.6182089530388044</v>
      </c>
      <c r="AC33" s="118">
        <f>AA33*Reference!$L$22/(60*1000)</f>
        <v>0.97167350569806243</v>
      </c>
      <c r="AD33" s="118">
        <f>N33*Reference!$F$10+Reference!$F$11</f>
        <v>12.885938096853188</v>
      </c>
      <c r="AE33" s="118">
        <f t="shared" si="2"/>
        <v>55.424644500515988</v>
      </c>
      <c r="AF33" s="118">
        <f t="shared" si="8"/>
        <v>110.84928900103198</v>
      </c>
      <c r="AG33" s="118">
        <f t="shared" si="9"/>
        <v>0.11624736805243038</v>
      </c>
      <c r="AH33" s="224">
        <f>(AE33/100)*Reference!$L$24*(H33/1000)/(Reference!$W$24)</f>
        <v>26.204184774005821</v>
      </c>
      <c r="AI33" s="224">
        <f>(AE33/100)*Reference!$L$24*(H33/1000)/(Reference!$P$26)</f>
        <v>68.48770335401862</v>
      </c>
      <c r="AJ33" s="224">
        <f>(AE33/100)*Reference!$L$24*(H33/1000)/(Reference!$P$24)</f>
        <v>101.54208792767172</v>
      </c>
      <c r="AK33" s="224">
        <f>AH33/Reference!$R$24</f>
        <v>257.32955178883554</v>
      </c>
      <c r="AL33" s="224">
        <f>AI33/(Reference!$R$24)</f>
        <v>672.56089663277783</v>
      </c>
      <c r="AM33" s="224">
        <f>AB33/(Reference!$R$24)</f>
        <v>15.891087174718448</v>
      </c>
      <c r="AN33" s="118">
        <f t="shared" si="3"/>
        <v>16.570195270277683</v>
      </c>
      <c r="AO33" s="179">
        <f t="shared" si="10"/>
        <v>3.0579717730818616E-4</v>
      </c>
      <c r="AP33" s="123"/>
      <c r="AQ33" s="270">
        <f t="shared" si="11"/>
        <v>4.3011726491260243</v>
      </c>
      <c r="AR33" s="270">
        <f t="shared" si="12"/>
        <v>3.387987955257828E-3</v>
      </c>
      <c r="AS33" s="270">
        <f t="shared" si="4"/>
        <v>2.5938179359838343E-3</v>
      </c>
      <c r="AT33" s="270">
        <f t="shared" si="5"/>
        <v>205.6519538858351</v>
      </c>
      <c r="AU33" s="270">
        <f t="shared" si="13"/>
        <v>6.0775496664551598</v>
      </c>
      <c r="AV33" s="270">
        <f t="shared" si="14"/>
        <v>3.6191184107459882</v>
      </c>
      <c r="AW33" s="270">
        <f t="shared" si="15"/>
        <v>2.4584312557091716</v>
      </c>
      <c r="AX33" s="270">
        <f t="shared" si="6"/>
        <v>102.81453309011596</v>
      </c>
      <c r="AY33" s="270">
        <f t="shared" si="16"/>
        <v>102.83742079571914</v>
      </c>
      <c r="AZ33" s="270">
        <f t="shared" si="17"/>
        <v>0.99977743796542073</v>
      </c>
      <c r="BD33" s="178">
        <v>26.515626471498351</v>
      </c>
      <c r="BE33" s="118">
        <v>0.11624736805243038</v>
      </c>
      <c r="BF33" s="118">
        <v>0.11624736805243038</v>
      </c>
      <c r="BG33" s="118">
        <f t="shared" si="18"/>
        <v>0.23249473610486077</v>
      </c>
      <c r="BH33" s="118">
        <v>26.515626471498351</v>
      </c>
      <c r="BI33" s="118">
        <v>15.891087174718448</v>
      </c>
    </row>
    <row r="34" spans="1:66" s="118" customFormat="1">
      <c r="A34" s="200">
        <v>167</v>
      </c>
      <c r="B34" s="69">
        <v>0.39672453703703708</v>
      </c>
      <c r="C34" s="184">
        <v>0.39787037037037037</v>
      </c>
      <c r="D34" s="69">
        <v>0.39777777777777779</v>
      </c>
      <c r="E34" s="173"/>
      <c r="F34" s="173" t="s">
        <v>185</v>
      </c>
      <c r="G34" s="177" t="s">
        <v>68</v>
      </c>
      <c r="H34" s="177">
        <v>1.6002000000000001</v>
      </c>
      <c r="I34" s="170">
        <v>101325</v>
      </c>
      <c r="J34" s="218">
        <f t="shared" si="23"/>
        <v>35.046700000000001</v>
      </c>
      <c r="K34" s="218">
        <v>42.08</v>
      </c>
      <c r="L34" s="224">
        <v>0.5</v>
      </c>
      <c r="M34" s="118">
        <v>155</v>
      </c>
      <c r="N34" s="118">
        <v>34</v>
      </c>
      <c r="O34" s="118">
        <v>73</v>
      </c>
      <c r="P34" s="118">
        <v>2.69</v>
      </c>
      <c r="Q34" s="118">
        <v>250</v>
      </c>
      <c r="R34" s="118">
        <v>376</v>
      </c>
      <c r="S34" s="118">
        <f>R34*Reference!$N$60+Reference!$N$61</f>
        <v>33.41256921447696</v>
      </c>
      <c r="T34" s="118">
        <v>31</v>
      </c>
      <c r="U34" s="118">
        <f>T34*-Reference!$N$60</f>
        <v>7.1268408344112313</v>
      </c>
      <c r="V34" s="178">
        <f>Reference!$L$22</f>
        <v>1743.448114147531</v>
      </c>
      <c r="W34" s="6">
        <v>2288.3000000000002</v>
      </c>
      <c r="X34" s="123">
        <f>Reference!$W$24</f>
        <v>4.9135999999999999E-2</v>
      </c>
      <c r="Y34" s="123">
        <f t="shared" si="7"/>
        <v>6.4357834526886323E-5</v>
      </c>
      <c r="Z34" s="118">
        <f>M34*Reference!$L$9</f>
        <v>90.141843971631218</v>
      </c>
      <c r="AA34" s="118">
        <f t="shared" si="22"/>
        <v>45.070921985815609</v>
      </c>
      <c r="AB34" s="118">
        <f>Z34*Reference!$L$24/(60*10^3)</f>
        <v>2.1810642410523013</v>
      </c>
      <c r="AC34" s="118">
        <f>AA34*Reference!$L$22/(60*1000)</f>
        <v>1.3096468989843453</v>
      </c>
      <c r="AD34" s="118">
        <f>N34*Reference!$F$10+Reference!$F$11</f>
        <v>26.048953479978174</v>
      </c>
      <c r="AE34" s="118">
        <f t="shared" si="2"/>
        <v>74.702781718086769</v>
      </c>
      <c r="AF34" s="118">
        <f t="shared" si="8"/>
        <v>149.40556343617354</v>
      </c>
      <c r="AG34" s="118">
        <f t="shared" si="9"/>
        <v>0.17435062577911536</v>
      </c>
      <c r="AH34" s="224">
        <f>(AE34/100)*Reference!$L$24*(H34/1000)/(Reference!$W$24)</f>
        <v>35.318683825833936</v>
      </c>
      <c r="AI34" s="224">
        <f>(AE34/100)*Reference!$L$24*(H34/1000)/(Reference!$P$26)</f>
        <v>92.309513216285964</v>
      </c>
      <c r="AJ34" s="224">
        <f>(AE34/100)*Reference!$L$24*(H34/1000)/(Reference!$P$24)</f>
        <v>136.86107503294883</v>
      </c>
      <c r="AK34" s="224">
        <f>AH34/Reference!$R$24</f>
        <v>346.83548284582184</v>
      </c>
      <c r="AL34" s="224">
        <f>AI34/(Reference!$R$24)</f>
        <v>906.49512154852664</v>
      </c>
      <c r="AM34" s="224">
        <f>AB34/(Reference!$R$24)</f>
        <v>21.418421844185733</v>
      </c>
      <c r="AN34" s="118">
        <f t="shared" si="3"/>
        <v>20.880245728332056</v>
      </c>
      <c r="AO34" s="179">
        <f t="shared" si="10"/>
        <v>3.0579717730818616E-4</v>
      </c>
      <c r="AP34" s="123"/>
      <c r="AQ34" s="270">
        <f t="shared" si="11"/>
        <v>2.8677843728157852</v>
      </c>
      <c r="AR34" s="270">
        <f t="shared" si="12"/>
        <v>5.5050327521154619E-3</v>
      </c>
      <c r="AS34" s="270">
        <f t="shared" si="4"/>
        <v>3.3470233703347951E-3</v>
      </c>
      <c r="AT34" s="270">
        <f t="shared" si="5"/>
        <v>128.20703196834086</v>
      </c>
      <c r="AU34" s="270">
        <f t="shared" si="13"/>
        <v>3.8701795738840596</v>
      </c>
      <c r="AV34" s="270">
        <f t="shared" si="14"/>
        <v>2.4034468995451026</v>
      </c>
      <c r="AW34" s="270">
        <f t="shared" si="15"/>
        <v>1.466732674338957</v>
      </c>
      <c r="AX34" s="270">
        <f t="shared" si="6"/>
        <v>64.09609249617921</v>
      </c>
      <c r="AY34" s="270">
        <f t="shared" si="16"/>
        <v>64.110939472161647</v>
      </c>
      <c r="AZ34" s="270">
        <f t="shared" si="17"/>
        <v>0.99976841743227174</v>
      </c>
      <c r="BD34" s="178">
        <v>33.41256921447696</v>
      </c>
      <c r="BE34" s="118">
        <v>0.17435062577911536</v>
      </c>
      <c r="BF34" s="118">
        <v>0.17435062577911536</v>
      </c>
      <c r="BG34" s="118">
        <f t="shared" si="18"/>
        <v>0.34870125155823073</v>
      </c>
      <c r="BH34" s="118">
        <v>33.41256921447696</v>
      </c>
      <c r="BI34" s="118">
        <v>21.418421844185733</v>
      </c>
      <c r="BK34" s="171" t="s">
        <v>138</v>
      </c>
      <c r="BL34" s="171" t="s">
        <v>138</v>
      </c>
      <c r="BM34" s="171" t="s">
        <v>139</v>
      </c>
      <c r="BN34" s="116" t="s">
        <v>127</v>
      </c>
    </row>
    <row r="35" spans="1:66" s="118" customFormat="1">
      <c r="A35" s="200">
        <v>167</v>
      </c>
      <c r="B35" s="69">
        <v>0.40240740740740738</v>
      </c>
      <c r="C35" s="184">
        <v>0.40393518518518517</v>
      </c>
      <c r="D35" s="69">
        <v>0.40348379629629627</v>
      </c>
      <c r="E35" s="173"/>
      <c r="F35" s="173" t="s">
        <v>186</v>
      </c>
      <c r="G35" s="177" t="s">
        <v>68</v>
      </c>
      <c r="H35" s="177">
        <v>1.6002000000000001</v>
      </c>
      <c r="I35" s="170">
        <v>101325</v>
      </c>
      <c r="J35" s="218">
        <f t="shared" si="23"/>
        <v>35.046700000000001</v>
      </c>
      <c r="K35" s="218">
        <v>42.08</v>
      </c>
      <c r="L35" s="224">
        <v>0.5</v>
      </c>
      <c r="M35" s="118">
        <v>207</v>
      </c>
      <c r="N35" s="118">
        <v>49</v>
      </c>
      <c r="O35" s="118">
        <v>97</v>
      </c>
      <c r="P35" s="118">
        <v>3.57</v>
      </c>
      <c r="Q35" s="118">
        <v>250</v>
      </c>
      <c r="R35" s="118">
        <v>337</v>
      </c>
      <c r="S35" s="118">
        <f>R35*Reference!$N$60+Reference!$N$61</f>
        <v>42.378594780349147</v>
      </c>
      <c r="T35" s="118">
        <v>27</v>
      </c>
      <c r="U35" s="118">
        <f>T35*-Reference!$N$60</f>
        <v>6.2072484686807492</v>
      </c>
      <c r="V35" s="178">
        <f>Reference!$L$22</f>
        <v>1743.448114147531</v>
      </c>
      <c r="W35" s="6">
        <v>2288.3000000000002</v>
      </c>
      <c r="X35" s="123">
        <f>Reference!$W$24</f>
        <v>4.9135999999999999E-2</v>
      </c>
      <c r="Y35" s="123">
        <f t="shared" si="7"/>
        <v>6.4357834526886323E-5</v>
      </c>
      <c r="Z35" s="118">
        <f>M35*Reference!$L$9</f>
        <v>120.38297872340426</v>
      </c>
      <c r="AA35" s="118">
        <f t="shared" si="22"/>
        <v>60.191489361702132</v>
      </c>
      <c r="AB35" s="118">
        <f>Z35*Reference!$L$24/(60*10^3)</f>
        <v>2.9127761154698479</v>
      </c>
      <c r="AC35" s="118">
        <f>AA35*Reference!$L$22/(60*1000)</f>
        <v>1.7490123102565127</v>
      </c>
      <c r="AD35" s="118">
        <f>N35*Reference!$F$10+Reference!$F$11</f>
        <v>40.152184247612084</v>
      </c>
      <c r="AE35" s="118">
        <f t="shared" si="2"/>
        <v>99.764360100928783</v>
      </c>
      <c r="AF35" s="118">
        <f t="shared" si="8"/>
        <v>199.52872020185757</v>
      </c>
      <c r="AG35" s="118">
        <f t="shared" si="9"/>
        <v>0.20123511145158077</v>
      </c>
      <c r="AH35" s="224">
        <f>(AE35/100)*Reference!$L$24*(H35/1000)/(Reference!$W$24)</f>
        <v>47.167532593210481</v>
      </c>
      <c r="AI35" s="224">
        <f>(AE35/100)*Reference!$L$24*(H35/1000)/(Reference!$P$26)</f>
        <v>123.27786603723351</v>
      </c>
      <c r="AJ35" s="224">
        <f>(AE35/100)*Reference!$L$24*(H35/1000)/(Reference!$P$24)</f>
        <v>182.77575826980907</v>
      </c>
      <c r="AK35" s="224">
        <f>AH35/Reference!$R$24</f>
        <v>463.193193219904</v>
      </c>
      <c r="AL35" s="224">
        <f>AI35/(Reference!$R$24)</f>
        <v>1210.6096139389999</v>
      </c>
      <c r="AM35" s="224">
        <f>AB35/(Reference!$R$24)</f>
        <v>28.603956914493207</v>
      </c>
      <c r="AN35" s="118">
        <f t="shared" si="3"/>
        <v>26.483311323802742</v>
      </c>
      <c r="AO35" s="179">
        <f t="shared" si="10"/>
        <v>3.0579717730818616E-4</v>
      </c>
      <c r="AP35" s="123"/>
      <c r="AQ35" s="270">
        <f t="shared" si="11"/>
        <v>2.4846558654368085</v>
      </c>
      <c r="AR35" s="270">
        <f t="shared" si="12"/>
        <v>9.2821597694621571E-3</v>
      </c>
      <c r="AS35" s="270">
        <f t="shared" si="4"/>
        <v>4.3680330893220006E-3</v>
      </c>
      <c r="AT35" s="270">
        <f t="shared" si="5"/>
        <v>105.49818188144791</v>
      </c>
      <c r="AU35" s="270">
        <f t="shared" si="13"/>
        <v>2.6962709678886285</v>
      </c>
      <c r="AV35" s="270">
        <f t="shared" si="14"/>
        <v>1.6964725772750715</v>
      </c>
      <c r="AW35" s="270">
        <f t="shared" si="15"/>
        <v>0.99979839061355702</v>
      </c>
      <c r="AX35" s="270">
        <f t="shared" si="6"/>
        <v>52.743051442597299</v>
      </c>
      <c r="AY35" s="270">
        <f t="shared" si="16"/>
        <v>52.755130438850607</v>
      </c>
      <c r="AZ35" s="270">
        <f t="shared" si="17"/>
        <v>0.99977103655790767</v>
      </c>
      <c r="BD35" s="178">
        <v>42.378594780349147</v>
      </c>
      <c r="BE35" s="118">
        <v>0.20123511145158077</v>
      </c>
      <c r="BF35" s="118">
        <v>0.20123511145158077</v>
      </c>
      <c r="BG35" s="118">
        <f t="shared" si="18"/>
        <v>0.40247022290316153</v>
      </c>
      <c r="BH35" s="118">
        <v>42.378594780349147</v>
      </c>
      <c r="BI35" s="118">
        <v>28.603956914493207</v>
      </c>
      <c r="BK35" s="118">
        <v>1.1970634090740315E-2</v>
      </c>
      <c r="BL35" s="118">
        <f t="shared" si="19"/>
        <v>2.3941268181480631E-2</v>
      </c>
      <c r="BM35" s="118">
        <v>105.22075589027845</v>
      </c>
      <c r="BN35" s="118">
        <v>61.099703238232117</v>
      </c>
    </row>
    <row r="36" spans="1:66" s="118" customFormat="1">
      <c r="A36" s="200">
        <v>167</v>
      </c>
      <c r="B36" s="69">
        <v>0.40615740740740741</v>
      </c>
      <c r="C36" s="184">
        <v>0.40743055555555557</v>
      </c>
      <c r="D36" s="69">
        <v>0.40666666666666668</v>
      </c>
      <c r="E36" s="173"/>
      <c r="F36" s="173" t="s">
        <v>187</v>
      </c>
      <c r="G36" s="177" t="s">
        <v>68</v>
      </c>
      <c r="H36" s="177">
        <v>1.6002000000000001</v>
      </c>
      <c r="I36" s="170">
        <v>101325</v>
      </c>
      <c r="J36" s="218">
        <f t="shared" si="23"/>
        <v>35.046700000000001</v>
      </c>
      <c r="K36" s="218">
        <v>42.08</v>
      </c>
      <c r="L36" s="224">
        <v>0.5</v>
      </c>
      <c r="M36" s="118">
        <v>234</v>
      </c>
      <c r="N36" s="118">
        <v>58</v>
      </c>
      <c r="O36" s="118">
        <v>110</v>
      </c>
      <c r="P36" s="118">
        <v>3.77</v>
      </c>
      <c r="Q36" s="118">
        <v>250</v>
      </c>
      <c r="R36" s="118">
        <v>306</v>
      </c>
      <c r="S36" s="118">
        <f>R36*Reference!$N$60+Reference!$N$61</f>
        <v>49.505435614760387</v>
      </c>
      <c r="T36" s="118">
        <v>26</v>
      </c>
      <c r="U36" s="118">
        <f>T36*-Reference!$N$60</f>
        <v>5.9773503772481291</v>
      </c>
      <c r="V36" s="178">
        <f>Reference!$L$22</f>
        <v>1743.448114147531</v>
      </c>
      <c r="W36" s="6">
        <v>2288.3000000000002</v>
      </c>
      <c r="X36" s="123">
        <f>Reference!$W$24</f>
        <v>4.9135999999999999E-2</v>
      </c>
      <c r="Y36" s="123">
        <f t="shared" si="7"/>
        <v>6.4357834526886323E-5</v>
      </c>
      <c r="Z36" s="118">
        <f>M36*Reference!$L$9</f>
        <v>136.08510638297875</v>
      </c>
      <c r="AA36" s="118">
        <f t="shared" si="22"/>
        <v>68.042553191489375</v>
      </c>
      <c r="AB36" s="118">
        <f>Z36*Reference!$L$24/(60*10^3)</f>
        <v>3.292703434878959</v>
      </c>
      <c r="AC36" s="118">
        <f>AA36*Reference!$L$22/(60*1000)</f>
        <v>1.9771443507247537</v>
      </c>
      <c r="AD36" s="118">
        <f>N36*Reference!$F$10+Reference!$F$11</f>
        <v>48.614122708192433</v>
      </c>
      <c r="AE36" s="118">
        <f t="shared" si="2"/>
        <v>112.77710272278907</v>
      </c>
      <c r="AF36" s="118">
        <f t="shared" si="8"/>
        <v>225.55420544557813</v>
      </c>
      <c r="AG36" s="118">
        <f t="shared" si="9"/>
        <v>0.21553188339874282</v>
      </c>
      <c r="AH36" s="224">
        <f>(AE36/100)*Reference!$L$24*(H36/1000)/(Reference!$W$24)</f>
        <v>53.319819453194462</v>
      </c>
      <c r="AI36" s="224">
        <f>(AE36/100)*Reference!$L$24*(H36/1000)/(Reference!$P$26)</f>
        <v>139.35758769426397</v>
      </c>
      <c r="AJ36" s="224">
        <f>(AE36/100)*Reference!$L$24*(H36/1000)/(Reference!$P$24)</f>
        <v>206.61607456587117</v>
      </c>
      <c r="AK36" s="224">
        <f>AH36/Reference!$R$24</f>
        <v>523.60969668336975</v>
      </c>
      <c r="AL36" s="224">
        <f>AI36/(Reference!$R$24)</f>
        <v>1368.5152157571304</v>
      </c>
      <c r="AM36" s="224">
        <f>AB36/(Reference!$R$24)</f>
        <v>32.334907816383627</v>
      </c>
      <c r="AN36" s="118">
        <f t="shared" si="3"/>
        <v>30.937030130458933</v>
      </c>
      <c r="AO36" s="179">
        <f t="shared" si="10"/>
        <v>3.0579717730818616E-4</v>
      </c>
      <c r="AP36" s="123"/>
      <c r="AQ36" s="270">
        <f t="shared" si="11"/>
        <v>2.319842392296918</v>
      </c>
      <c r="AR36" s="270">
        <f t="shared" si="12"/>
        <v>1.1497159396612576E-2</v>
      </c>
      <c r="AS36" s="270">
        <f t="shared" si="4"/>
        <v>4.873327407819452E-3</v>
      </c>
      <c r="AT36" s="270">
        <f t="shared" si="5"/>
        <v>101.79112587771867</v>
      </c>
      <c r="AU36" s="270">
        <f t="shared" si="13"/>
        <v>2.3858385427708564</v>
      </c>
      <c r="AV36" s="270">
        <f t="shared" si="14"/>
        <v>1.5210124092616717</v>
      </c>
      <c r="AW36" s="270">
        <f t="shared" si="15"/>
        <v>0.86482613350918469</v>
      </c>
      <c r="AX36" s="270">
        <f t="shared" si="6"/>
        <v>50.889743427635601</v>
      </c>
      <c r="AY36" s="270">
        <f t="shared" si="16"/>
        <v>50.901382450083069</v>
      </c>
      <c r="AZ36" s="270">
        <f t="shared" si="17"/>
        <v>0.99977134172222371</v>
      </c>
      <c r="BD36" s="178">
        <v>49.505435614760387</v>
      </c>
      <c r="BE36" s="118">
        <v>0.21553188339874282</v>
      </c>
      <c r="BF36" s="118">
        <v>0.21553188339874282</v>
      </c>
      <c r="BG36" s="118">
        <f t="shared" si="18"/>
        <v>0.43106376679748565</v>
      </c>
      <c r="BH36" s="118">
        <v>49.505435614760387</v>
      </c>
      <c r="BI36" s="118">
        <v>32.334907816383627</v>
      </c>
      <c r="BK36" s="118">
        <v>1.8835852467045184E-2</v>
      </c>
      <c r="BL36" s="118">
        <f t="shared" si="19"/>
        <v>3.7671704934090368E-2</v>
      </c>
      <c r="BM36" s="118">
        <v>53.283644834390898</v>
      </c>
      <c r="BN36" s="118">
        <v>25.422777371092057</v>
      </c>
    </row>
    <row r="37" spans="1:66" s="118" customFormat="1">
      <c r="A37" s="199" t="s">
        <v>66</v>
      </c>
      <c r="B37" s="69">
        <v>0.37240740740740735</v>
      </c>
      <c r="C37" s="184">
        <v>0.37398148148148147</v>
      </c>
      <c r="D37" s="69">
        <v>0.37254629629629626</v>
      </c>
      <c r="E37" s="173" t="s">
        <v>69</v>
      </c>
      <c r="F37" s="173" t="s">
        <v>188</v>
      </c>
      <c r="G37" s="177" t="s">
        <v>68</v>
      </c>
      <c r="H37" s="177">
        <v>1.6002000000000001</v>
      </c>
      <c r="I37" s="170">
        <v>101325</v>
      </c>
      <c r="J37" s="218">
        <f t="shared" si="23"/>
        <v>35.046700000000001</v>
      </c>
      <c r="K37" s="218">
        <v>42.08</v>
      </c>
      <c r="L37" s="224">
        <v>0.5</v>
      </c>
      <c r="M37" s="118">
        <v>103</v>
      </c>
      <c r="N37" s="118">
        <v>18</v>
      </c>
      <c r="O37" s="118">
        <v>56</v>
      </c>
      <c r="P37" s="118">
        <v>0.49</v>
      </c>
      <c r="Q37" s="118">
        <v>250</v>
      </c>
      <c r="R37" s="118">
        <v>423</v>
      </c>
      <c r="S37" s="118">
        <f>R37*Reference!$J$42+Reference!$F$43</f>
        <v>22.121202289754166</v>
      </c>
      <c r="T37" s="118">
        <v>23</v>
      </c>
      <c r="U37" s="118">
        <f>T37*-Reference!$J$42</f>
        <v>5.3053907509179359</v>
      </c>
      <c r="V37" s="178">
        <f>Reference!$L$22</f>
        <v>1743.448114147531</v>
      </c>
      <c r="W37" s="6">
        <v>2288.3000000000002</v>
      </c>
      <c r="X37" s="123">
        <f>Reference!$W$24</f>
        <v>4.9135999999999999E-2</v>
      </c>
      <c r="Y37" s="123">
        <f t="shared" si="7"/>
        <v>6.4357834526886323E-5</v>
      </c>
      <c r="Z37" s="118">
        <f>M37*Reference!$L$9</f>
        <v>59.900709219858165</v>
      </c>
      <c r="AA37" s="118">
        <f t="shared" si="22"/>
        <v>29.950354609929082</v>
      </c>
      <c r="AB37" s="118">
        <f>Z37*Reference!$L$24/(60*10^3)</f>
        <v>1.4493523666347554</v>
      </c>
      <c r="AC37" s="118">
        <f>AA37*Reference!$L$22/(60*1000)</f>
        <v>0.87028148771217784</v>
      </c>
      <c r="AD37" s="118">
        <f>N37*Reference!$F$10+Reference!$F$11</f>
        <v>11.005507327835332</v>
      </c>
      <c r="AE37" s="118">
        <f t="shared" ref="AE37:AE59" si="24">(Z37/(PI()/4*((H37/10)^2)*60))</f>
        <v>49.641203335244761</v>
      </c>
      <c r="AF37" s="118">
        <f t="shared" si="8"/>
        <v>99.282406670489522</v>
      </c>
      <c r="AG37" s="118">
        <f t="shared" si="9"/>
        <v>0.11085052928220951</v>
      </c>
      <c r="AH37" s="224">
        <f>(AE37/100)*Reference!$L$24*(H37/1000)/(Reference!$W$24)</f>
        <v>23.469835058457392</v>
      </c>
      <c r="AI37" s="224">
        <f>(AE37/100)*Reference!$L$24*(H37/1000)/(Reference!$P$26)</f>
        <v>61.34116039533842</v>
      </c>
      <c r="AJ37" s="224">
        <f>(AE37/100)*Reference!$L$24*(H37/1000)/(Reference!$P$24)</f>
        <v>90.946391796088591</v>
      </c>
      <c r="AK37" s="224">
        <f>AH37/Reference!$R$24</f>
        <v>230.47777247173968</v>
      </c>
      <c r="AL37" s="224">
        <f>AI37/(Reference!$R$24)</f>
        <v>602.38062915805324</v>
      </c>
      <c r="AM37" s="224">
        <f>AB37/(Reference!$R$24)</f>
        <v>14.232886773878263</v>
      </c>
      <c r="AN37" s="118">
        <f t="shared" ref="AN37:AN59" si="25">S37/H37</f>
        <v>13.824023428167832</v>
      </c>
      <c r="AO37" s="179">
        <f t="shared" si="10"/>
        <v>3.0579717730818616E-4</v>
      </c>
      <c r="AP37" s="123"/>
      <c r="AQ37" s="270">
        <f t="shared" si="11"/>
        <v>4.5105783728562256</v>
      </c>
      <c r="AR37" s="270">
        <f t="shared" si="12"/>
        <v>2.744467710872475E-3</v>
      </c>
      <c r="AS37" s="270">
        <f t="shared" ref="AS37:AS59" si="26">0.75*AR37/(2*(AE37/100)-(AD37/100))</f>
        <v>2.3316980982359776E-3</v>
      </c>
      <c r="AT37" s="270">
        <f t="shared" ref="AT37:AT59" si="27">1000*(S37/1000)/(AD37/100)-(0.75*AR37/(AD37/100)^2)*LN(ABS(1+((AD37/100)*(S37/1000)/(0.75*AR37))*(1-((AD37/100)/(2*(AE37/100))))))</f>
        <v>200.87907645860028</v>
      </c>
      <c r="AU37" s="270">
        <f t="shared" si="13"/>
        <v>6.5298928272934571</v>
      </c>
      <c r="AV37" s="270">
        <f t="shared" si="14"/>
        <v>3.8393286067523356</v>
      </c>
      <c r="AW37" s="270">
        <f t="shared" si="15"/>
        <v>2.6905642205411215</v>
      </c>
      <c r="AX37" s="270">
        <f t="shared" ref="AX37:AX59" si="28">1000*(S37/2000)/(AD37/100)-(0.75*AR37/(AD37/100)^2)*LN(ABS(1+((AD37/100)*(S37/2000)/(0.75*AR37))*(1-((AD37/100)/(2*(AE37/100))))))</f>
        <v>100.42879560743101</v>
      </c>
      <c r="AY37" s="270">
        <f t="shared" si="16"/>
        <v>100.45028085116927</v>
      </c>
      <c r="AZ37" s="270">
        <f t="shared" si="17"/>
        <v>0.99978611066533418</v>
      </c>
      <c r="BD37" s="178">
        <v>22.121202289754166</v>
      </c>
      <c r="BE37" s="118">
        <v>0.11085052928220951</v>
      </c>
      <c r="BF37" s="118">
        <v>0.11085052928220951</v>
      </c>
      <c r="BG37" s="118">
        <f t="shared" si="18"/>
        <v>0.22170105856441902</v>
      </c>
      <c r="BH37" s="118">
        <v>22.121202289754166</v>
      </c>
      <c r="BI37" s="118">
        <v>14.232886773878263</v>
      </c>
      <c r="BK37" s="118">
        <v>1.2403091494429214E-2</v>
      </c>
      <c r="BL37" s="118">
        <f t="shared" si="19"/>
        <v>2.4806182988858429E-2</v>
      </c>
      <c r="BM37" s="118">
        <v>46.96023106635738</v>
      </c>
      <c r="BN37" s="118">
        <v>21.123337080392663</v>
      </c>
    </row>
    <row r="38" spans="1:66" s="118" customFormat="1">
      <c r="A38" s="201" t="s">
        <v>70</v>
      </c>
      <c r="B38" s="69">
        <v>0.41340277777777779</v>
      </c>
      <c r="C38" s="184">
        <v>0.41423611111111108</v>
      </c>
      <c r="D38" s="69">
        <v>0.41356481481481483</v>
      </c>
      <c r="E38" s="173" t="s">
        <v>71</v>
      </c>
      <c r="F38" s="173" t="s">
        <v>162</v>
      </c>
      <c r="G38" s="202" t="s">
        <v>17</v>
      </c>
      <c r="H38" s="177">
        <v>1.6002000000000001</v>
      </c>
      <c r="I38" s="170">
        <v>101325</v>
      </c>
      <c r="J38" s="218">
        <v>42.08</v>
      </c>
      <c r="K38" s="218">
        <v>42.08</v>
      </c>
      <c r="L38" s="224">
        <v>1</v>
      </c>
      <c r="M38" s="118">
        <v>84</v>
      </c>
      <c r="N38" s="118">
        <v>61</v>
      </c>
      <c r="O38" s="118">
        <v>139</v>
      </c>
      <c r="P38" s="118">
        <v>2.08</v>
      </c>
      <c r="Q38" s="118">
        <v>250</v>
      </c>
      <c r="R38" s="118">
        <v>414</v>
      </c>
      <c r="S38" s="118">
        <f>R38*Reference!$N$42+Reference!$N$43</f>
        <v>25.731627702244865</v>
      </c>
      <c r="T38" s="118">
        <v>20</v>
      </c>
      <c r="U38" s="118">
        <f>T38*-Reference!$N$42</f>
        <v>4.5167241200239383</v>
      </c>
      <c r="V38" s="178">
        <f>Reference!$L$22</f>
        <v>1743.448114147531</v>
      </c>
      <c r="W38" s="6">
        <v>2331.98</v>
      </c>
      <c r="X38" s="123">
        <f>Reference!$W$22</f>
        <v>4.9660000000000003E-2</v>
      </c>
      <c r="Y38" s="123">
        <f t="shared" si="7"/>
        <v>6.4357834526886323E-5</v>
      </c>
      <c r="Z38" s="118">
        <f>M38*Reference!$L$7</f>
        <v>34.44</v>
      </c>
      <c r="AA38" s="118">
        <f t="shared" ref="AA38:AA59" si="29">Z38</f>
        <v>34.44</v>
      </c>
      <c r="AB38" s="118">
        <f>Z38*Reference!$L$22/(60*10^3)</f>
        <v>1.0007392175206826</v>
      </c>
      <c r="AC38" s="118">
        <f t="shared" ref="AC38:AC59" si="30">AB38</f>
        <v>1.0007392175206826</v>
      </c>
      <c r="AD38" s="118">
        <f>N38*Reference!$F$10+Reference!$F$11</f>
        <v>51.43476886171922</v>
      </c>
      <c r="AE38" s="118">
        <f t="shared" si="24"/>
        <v>28.541282150613537</v>
      </c>
      <c r="AF38" s="118">
        <f t="shared" si="8"/>
        <v>57.082564301227073</v>
      </c>
      <c r="AG38" s="118">
        <f t="shared" si="9"/>
        <v>0.90105918490794845</v>
      </c>
      <c r="AH38" s="224">
        <f>(AE38/100)*Reference!$L$22*(H38/1000)/(Reference!$W$22)</f>
        <v>16.034301915878327</v>
      </c>
      <c r="AI38" s="224">
        <f>(AE38/100)*Reference!$L$22*(H38/1000)/(Reference!$P$26)</f>
        <v>42.354437933112649</v>
      </c>
      <c r="AJ38" s="224">
        <f>(AE38/100)*Reference!$L$22*(H38/1000)/(Reference!$P$22)</f>
        <v>92.718828352082539</v>
      </c>
      <c r="AK38" s="224">
        <f>AH38/Reference!$R$22</f>
        <v>251.58949846040181</v>
      </c>
      <c r="AL38" s="224">
        <f>AI38/(Reference!$R$22)</f>
        <v>664.57098369912524</v>
      </c>
      <c r="AM38" s="224">
        <f>AB38/(Reference!$R$22)</f>
        <v>15.702303670380385</v>
      </c>
      <c r="AN38" s="118">
        <f t="shared" si="25"/>
        <v>16.080257281742821</v>
      </c>
      <c r="AO38" s="179">
        <f t="shared" si="10"/>
        <v>3.0579717730818616E-4</v>
      </c>
      <c r="AP38" s="123"/>
      <c r="AQ38" s="271">
        <f t="shared" si="11"/>
        <v>0.55490250626664406</v>
      </c>
      <c r="AR38" s="271">
        <f t="shared" si="12"/>
        <v>-3.825895252421792E-4</v>
      </c>
      <c r="AS38" s="271">
        <f t="shared" si="26"/>
        <v>-5.0806044058252665E-3</v>
      </c>
      <c r="AT38" s="270">
        <f t="shared" si="27"/>
        <v>50.029070219205984</v>
      </c>
      <c r="AU38" s="270" t="e">
        <f t="shared" si="13"/>
        <v>#NUM!</v>
      </c>
      <c r="AV38" s="270" t="e">
        <f t="shared" si="14"/>
        <v>#NUM!</v>
      </c>
      <c r="AW38" s="270" t="e">
        <f t="shared" si="15"/>
        <v>#NUM!</v>
      </c>
      <c r="AX38" s="270">
        <f t="shared" si="28"/>
        <v>25.014115221387495</v>
      </c>
      <c r="AY38" s="270">
        <f t="shared" si="16"/>
        <v>25.014954997818489</v>
      </c>
      <c r="AZ38" s="270">
        <f t="shared" si="17"/>
        <v>0.99996642902491462</v>
      </c>
      <c r="BD38" s="178">
        <v>25.731627702244865</v>
      </c>
      <c r="BE38" s="118">
        <v>0.90105918490794845</v>
      </c>
      <c r="BF38" s="118">
        <v>0.90105918490794845</v>
      </c>
      <c r="BG38" s="118">
        <f t="shared" si="18"/>
        <v>1.8021183698158969</v>
      </c>
      <c r="BH38" s="171">
        <v>25.731627702244865</v>
      </c>
      <c r="BI38" s="118">
        <v>15.702303670380385</v>
      </c>
      <c r="BK38" s="171">
        <v>6.58859863240228E-3</v>
      </c>
      <c r="BL38" s="118">
        <f t="shared" si="19"/>
        <v>1.317719726480456E-2</v>
      </c>
      <c r="BM38" s="171">
        <v>59.185917378603172</v>
      </c>
      <c r="BN38" s="116">
        <v>27.105167050061382</v>
      </c>
    </row>
    <row r="39" spans="1:66" s="118" customFormat="1">
      <c r="A39" s="201" t="s">
        <v>70</v>
      </c>
      <c r="B39" s="69">
        <v>0.40769675925925924</v>
      </c>
      <c r="C39" s="184">
        <v>0.40846064814814814</v>
      </c>
      <c r="D39" s="69">
        <v>0.40797453703703707</v>
      </c>
      <c r="E39" s="173">
        <v>77</v>
      </c>
      <c r="F39" s="173" t="s">
        <v>163</v>
      </c>
      <c r="G39" s="202" t="s">
        <v>17</v>
      </c>
      <c r="H39" s="177">
        <v>1.6002000000000001</v>
      </c>
      <c r="I39" s="170">
        <v>101325</v>
      </c>
      <c r="J39" s="218">
        <v>42.08</v>
      </c>
      <c r="K39" s="218">
        <v>42.08</v>
      </c>
      <c r="L39" s="224">
        <v>1</v>
      </c>
      <c r="M39" s="118">
        <v>61</v>
      </c>
      <c r="N39" s="118">
        <v>42</v>
      </c>
      <c r="O39" s="118">
        <v>105</v>
      </c>
      <c r="P39" s="118">
        <v>1.3</v>
      </c>
      <c r="Q39" s="118">
        <v>250</v>
      </c>
      <c r="R39" s="118">
        <v>441</v>
      </c>
      <c r="S39" s="118">
        <f>R39*Reference!$N$42+Reference!$N$43</f>
        <v>19.634050140212551</v>
      </c>
      <c r="T39" s="118">
        <v>24</v>
      </c>
      <c r="U39" s="118">
        <f>T39*-Reference!$N$42</f>
        <v>5.420068944028726</v>
      </c>
      <c r="V39" s="178">
        <f>Reference!$L$22</f>
        <v>1743.448114147531</v>
      </c>
      <c r="W39" s="6">
        <v>2331.98</v>
      </c>
      <c r="X39" s="123">
        <f>Reference!$W$22</f>
        <v>4.9660000000000003E-2</v>
      </c>
      <c r="Y39" s="123">
        <f t="shared" si="7"/>
        <v>6.4357834526886323E-5</v>
      </c>
      <c r="Z39" s="118">
        <f>M39*Reference!$L$7</f>
        <v>25.009999999999998</v>
      </c>
      <c r="AA39" s="118">
        <f t="shared" si="29"/>
        <v>25.009999999999998</v>
      </c>
      <c r="AB39" s="118">
        <f>Z39*Reference!$L$22/(60*10^3)</f>
        <v>0.72672728891382921</v>
      </c>
      <c r="AC39" s="118">
        <f t="shared" si="30"/>
        <v>0.72672728891382921</v>
      </c>
      <c r="AD39" s="118">
        <f>N39*Reference!$F$10+Reference!$F$11</f>
        <v>33.570676556049591</v>
      </c>
      <c r="AE39" s="118">
        <f t="shared" si="24"/>
        <v>20.726407276040781</v>
      </c>
      <c r="AF39" s="118">
        <f t="shared" si="8"/>
        <v>41.452814552081563</v>
      </c>
      <c r="AG39" s="118">
        <f t="shared" si="9"/>
        <v>0.80985276678550244</v>
      </c>
      <c r="AH39" s="224">
        <f>(AE39/100)*Reference!$L$22*(H39/1000)/(Reference!$W$22)</f>
        <v>11.643957343673549</v>
      </c>
      <c r="AI39" s="224">
        <f>(AE39/100)*Reference!$L$22*(H39/1000)/(Reference!$P$26)</f>
        <v>30.757389451427045</v>
      </c>
      <c r="AJ39" s="224">
        <f>(AE39/100)*Reference!$L$22*(H39/1000)/(Reference!$P$22)</f>
        <v>67.331530112821852</v>
      </c>
      <c r="AK39" s="224">
        <f>AH39/Reference!$R$22</f>
        <v>182.70189769148229</v>
      </c>
      <c r="AL39" s="224">
        <f>AI39/(Reference!$R$22)</f>
        <v>482.60511911484099</v>
      </c>
      <c r="AM39" s="224">
        <f>AB39/(Reference!$R$22)</f>
        <v>11.402863379680996</v>
      </c>
      <c r="AN39" s="118">
        <f t="shared" si="25"/>
        <v>12.269747619180446</v>
      </c>
      <c r="AO39" s="179">
        <f t="shared" si="10"/>
        <v>3.0579717730818616E-4</v>
      </c>
      <c r="AP39" s="123"/>
      <c r="AQ39" s="271">
        <f t="shared" si="11"/>
        <v>0.61739617434983707</v>
      </c>
      <c r="AR39" s="271">
        <f t="shared" si="12"/>
        <v>-1.2325123764782099E-4</v>
      </c>
      <c r="AS39" s="271">
        <f t="shared" si="26"/>
        <v>-1.1727583084995606E-3</v>
      </c>
      <c r="AT39" s="270">
        <f t="shared" si="27"/>
        <v>58.487790263647241</v>
      </c>
      <c r="AU39" s="270" t="e">
        <f t="shared" si="13"/>
        <v>#NUM!</v>
      </c>
      <c r="AV39" s="270" t="e">
        <f t="shared" si="14"/>
        <v>#NUM!</v>
      </c>
      <c r="AW39" s="270" t="e">
        <f t="shared" si="15"/>
        <v>#NUM!</v>
      </c>
      <c r="AX39" s="270">
        <f t="shared" si="28"/>
        <v>29.244296277799876</v>
      </c>
      <c r="AY39" s="270">
        <f t="shared" si="16"/>
        <v>29.243493985847365</v>
      </c>
      <c r="AZ39" s="270">
        <f t="shared" si="17"/>
        <v>1.0000274348869838</v>
      </c>
      <c r="BD39" s="178">
        <v>19.634050140212551</v>
      </c>
      <c r="BE39" s="118">
        <v>0.80985276678550244</v>
      </c>
      <c r="BF39" s="118">
        <v>0.80985276678550244</v>
      </c>
      <c r="BG39" s="118">
        <f t="shared" si="18"/>
        <v>1.6197055335710049</v>
      </c>
      <c r="BH39" s="171">
        <v>19.634050140212551</v>
      </c>
      <c r="BI39" s="118">
        <v>11.402863379680996</v>
      </c>
      <c r="BK39" s="118">
        <v>5.5341767883278232E-3</v>
      </c>
      <c r="BL39" s="118">
        <f t="shared" si="19"/>
        <v>1.1068353576655646E-2</v>
      </c>
      <c r="BM39" s="118">
        <v>37.700946620308301</v>
      </c>
      <c r="BN39" s="118">
        <v>17.197761162797569</v>
      </c>
    </row>
    <row r="40" spans="1:66" s="118" customFormat="1">
      <c r="A40" s="201" t="s">
        <v>70</v>
      </c>
      <c r="B40" s="69">
        <v>0.40575231481481483</v>
      </c>
      <c r="C40" s="184">
        <v>0.40660879629629632</v>
      </c>
      <c r="D40" s="69">
        <v>0.4060300925925926</v>
      </c>
      <c r="E40" s="173">
        <v>75</v>
      </c>
      <c r="F40" s="173" t="s">
        <v>164</v>
      </c>
      <c r="G40" s="202" t="s">
        <v>17</v>
      </c>
      <c r="H40" s="177">
        <v>1.6002000000000001</v>
      </c>
      <c r="I40" s="170">
        <v>101325</v>
      </c>
      <c r="J40" s="218">
        <v>42.08</v>
      </c>
      <c r="K40" s="218">
        <v>42.08</v>
      </c>
      <c r="L40" s="224">
        <v>1</v>
      </c>
      <c r="M40" s="118">
        <v>46</v>
      </c>
      <c r="N40" s="118">
        <v>30</v>
      </c>
      <c r="O40" s="118">
        <v>81</v>
      </c>
      <c r="P40" s="118">
        <v>1.24</v>
      </c>
      <c r="Q40" s="118">
        <v>250</v>
      </c>
      <c r="R40" s="118">
        <v>458</v>
      </c>
      <c r="S40" s="118">
        <f>R40*Reference!$N$42+Reference!$N$43</f>
        <v>15.794834638192199</v>
      </c>
      <c r="T40" s="118">
        <v>26</v>
      </c>
      <c r="U40" s="118">
        <f>T40*-Reference!$N$42</f>
        <v>5.8717413560311194</v>
      </c>
      <c r="V40" s="178">
        <f>Reference!$L$22</f>
        <v>1743.448114147531</v>
      </c>
      <c r="W40" s="6">
        <v>2331.98</v>
      </c>
      <c r="X40" s="123">
        <f>Reference!$W$22</f>
        <v>4.9660000000000003E-2</v>
      </c>
      <c r="Y40" s="123">
        <f t="shared" si="7"/>
        <v>6.4357834526886323E-5</v>
      </c>
      <c r="Z40" s="118">
        <f>M40*Reference!$L$7</f>
        <v>18.86</v>
      </c>
      <c r="AA40" s="118">
        <f t="shared" si="29"/>
        <v>18.86</v>
      </c>
      <c r="AB40" s="118">
        <f>Z40*Reference!$L$22/(60*10^3)</f>
        <v>0.54802385721370728</v>
      </c>
      <c r="AC40" s="118">
        <f t="shared" si="30"/>
        <v>0.54802385721370728</v>
      </c>
      <c r="AD40" s="118">
        <f>N40*Reference!$F$10+Reference!$F$11</f>
        <v>22.288091941942461</v>
      </c>
      <c r="AE40" s="118">
        <f t="shared" si="24"/>
        <v>15.629749749145509</v>
      </c>
      <c r="AF40" s="118">
        <f t="shared" si="8"/>
        <v>31.259499498291017</v>
      </c>
      <c r="AG40" s="118">
        <f t="shared" si="9"/>
        <v>0.71300220092010658</v>
      </c>
      <c r="AH40" s="224">
        <f>(AE40/100)*Reference!$L$22*(H40/1000)/(Reference!$W$22)</f>
        <v>8.7806891444095605</v>
      </c>
      <c r="AI40" s="224">
        <f>(AE40/100)*Reference!$L$22*(H40/1000)/(Reference!$P$26)</f>
        <v>23.194096963371212</v>
      </c>
      <c r="AJ40" s="224">
        <f>(AE40/100)*Reference!$L$22*(H40/1000)/(Reference!$P$22)</f>
        <v>50.774596478521389</v>
      </c>
      <c r="AK40" s="224">
        <f>AH40/Reference!$R$22</f>
        <v>137.77520153783908</v>
      </c>
      <c r="AL40" s="224">
        <f>AI40/(Reference!$R$22)</f>
        <v>363.93172916856861</v>
      </c>
      <c r="AM40" s="224">
        <f>AB40/(Reference!$R$22)</f>
        <v>8.5988805813987845</v>
      </c>
      <c r="AN40" s="118">
        <f t="shared" si="25"/>
        <v>9.8705378316411689</v>
      </c>
      <c r="AO40" s="179">
        <f t="shared" si="10"/>
        <v>3.0579717730818616E-4</v>
      </c>
      <c r="AP40" s="123"/>
      <c r="AQ40" s="271">
        <f t="shared" si="11"/>
        <v>0.70126010740887756</v>
      </c>
      <c r="AR40" s="271">
        <f t="shared" si="12"/>
        <v>-2.2680916336162198E-5</v>
      </c>
      <c r="AS40" s="271">
        <f t="shared" si="26"/>
        <v>-1.8961001543268597E-4</v>
      </c>
      <c r="AT40" s="270">
        <f t="shared" si="27"/>
        <v>70.868089996227312</v>
      </c>
      <c r="AU40" s="270" t="e">
        <f t="shared" si="13"/>
        <v>#NUM!</v>
      </c>
      <c r="AV40" s="270" t="e">
        <f t="shared" si="14"/>
        <v>#NUM!</v>
      </c>
      <c r="AW40" s="270" t="e">
        <f t="shared" si="15"/>
        <v>#NUM!</v>
      </c>
      <c r="AX40" s="270">
        <f t="shared" si="28"/>
        <v>35.434498102032606</v>
      </c>
      <c r="AY40" s="270">
        <f t="shared" si="16"/>
        <v>35.433591894194706</v>
      </c>
      <c r="AZ40" s="270">
        <f t="shared" si="17"/>
        <v>1.0000255748229139</v>
      </c>
      <c r="BD40" s="178">
        <v>15.794834638192199</v>
      </c>
      <c r="BE40" s="118">
        <v>0.71300220092010658</v>
      </c>
      <c r="BF40" s="118">
        <v>0.71300220092010658</v>
      </c>
      <c r="BG40" s="118">
        <f t="shared" si="18"/>
        <v>1.4260044018402132</v>
      </c>
      <c r="BH40" s="171">
        <v>15.794834638192199</v>
      </c>
      <c r="BI40" s="118">
        <v>8.5988805813987845</v>
      </c>
    </row>
    <row r="41" spans="1:66" s="118" customFormat="1">
      <c r="A41" s="201" t="s">
        <v>70</v>
      </c>
      <c r="B41" s="69">
        <v>0.40129629629629626</v>
      </c>
      <c r="C41" s="184">
        <v>0.40202546296296293</v>
      </c>
      <c r="D41" s="69">
        <v>0.40146990740740746</v>
      </c>
      <c r="E41" s="173">
        <v>73</v>
      </c>
      <c r="F41" s="173" t="s">
        <v>189</v>
      </c>
      <c r="G41" s="202" t="s">
        <v>17</v>
      </c>
      <c r="H41" s="177">
        <v>1.6002000000000001</v>
      </c>
      <c r="I41" s="170">
        <v>101325</v>
      </c>
      <c r="J41" s="218">
        <v>42.08</v>
      </c>
      <c r="K41" s="218">
        <v>42.08</v>
      </c>
      <c r="L41" s="224">
        <v>1</v>
      </c>
      <c r="M41" s="118">
        <v>37</v>
      </c>
      <c r="N41" s="118">
        <v>16</v>
      </c>
      <c r="O41" s="118">
        <v>55</v>
      </c>
      <c r="P41" s="118">
        <v>1</v>
      </c>
      <c r="Q41" s="118">
        <v>250</v>
      </c>
      <c r="R41" s="118">
        <v>466</v>
      </c>
      <c r="S41" s="118">
        <f>R41*Reference!$N$42+Reference!$N$43</f>
        <v>13.988144990182633</v>
      </c>
      <c r="T41" s="118">
        <v>27</v>
      </c>
      <c r="U41" s="118">
        <f>T41*-Reference!$N$42</f>
        <v>6.0975775620323169</v>
      </c>
      <c r="V41" s="178">
        <f>Reference!$L$22</f>
        <v>1743.448114147531</v>
      </c>
      <c r="W41" s="6">
        <v>2331.98</v>
      </c>
      <c r="X41" s="123">
        <f>Reference!$W$22</f>
        <v>4.9660000000000003E-2</v>
      </c>
      <c r="Y41" s="123">
        <f t="shared" si="7"/>
        <v>6.4357834526886323E-5</v>
      </c>
      <c r="Z41" s="118">
        <f>M41*Reference!$L$7</f>
        <v>15.17</v>
      </c>
      <c r="AA41" s="118">
        <f t="shared" si="29"/>
        <v>15.17</v>
      </c>
      <c r="AB41" s="118">
        <f>Z41*Reference!$L$22/(60*10^3)</f>
        <v>0.44080179819363408</v>
      </c>
      <c r="AC41" s="118">
        <f t="shared" si="30"/>
        <v>0.44080179819363408</v>
      </c>
      <c r="AD41" s="118">
        <f>N41*Reference!$F$10+Reference!$F$11</f>
        <v>9.1250765588174758</v>
      </c>
      <c r="AE41" s="118">
        <f t="shared" si="24"/>
        <v>12.571755233008343</v>
      </c>
      <c r="AF41" s="118">
        <f t="shared" si="8"/>
        <v>25.143510466016686</v>
      </c>
      <c r="AG41" s="118">
        <f t="shared" si="9"/>
        <v>0.3629197510487126</v>
      </c>
      <c r="AH41" s="224">
        <f>(AE41/100)*Reference!$L$22*(H41/1000)/(Reference!$W$22)</f>
        <v>7.0627282248511669</v>
      </c>
      <c r="AI41" s="224">
        <f>(AE41/100)*Reference!$L$22*(H41/1000)/(Reference!$P$26)</f>
        <v>18.656121470537709</v>
      </c>
      <c r="AJ41" s="224">
        <f>(AE41/100)*Reference!$L$22*(H41/1000)/(Reference!$P$22)</f>
        <v>40.84043629794111</v>
      </c>
      <c r="AK41" s="224">
        <f>AH41/Reference!$R$22</f>
        <v>110.81918384565316</v>
      </c>
      <c r="AL41" s="224">
        <f>AI41/(Reference!$R$22)</f>
        <v>292.7276952008051</v>
      </c>
      <c r="AM41" s="224">
        <f>AB41/(Reference!$R$22)</f>
        <v>6.9164909024294561</v>
      </c>
      <c r="AN41" s="118">
        <f t="shared" si="25"/>
        <v>8.7414979316226926</v>
      </c>
      <c r="AO41" s="179">
        <f t="shared" si="10"/>
        <v>3.0579717730818616E-4</v>
      </c>
      <c r="AP41" s="123"/>
      <c r="AQ41" s="270">
        <f t="shared" si="11"/>
        <v>1.377715041838238</v>
      </c>
      <c r="AR41" s="270">
        <f t="shared" si="12"/>
        <v>9.6193578918446227E-5</v>
      </c>
      <c r="AS41" s="270">
        <f t="shared" si="26"/>
        <v>4.5038849994199657E-4</v>
      </c>
      <c r="AT41" s="270">
        <f t="shared" si="27"/>
        <v>153.2717295903166</v>
      </c>
      <c r="AU41" s="270">
        <f t="shared" si="13"/>
        <v>27.476844987422272</v>
      </c>
      <c r="AV41" s="270">
        <f t="shared" si="14"/>
        <v>20.739278758165295</v>
      </c>
      <c r="AW41" s="270">
        <f t="shared" si="15"/>
        <v>6.7375662292569771</v>
      </c>
      <c r="AX41" s="270">
        <f t="shared" si="28"/>
        <v>76.630329739518785</v>
      </c>
      <c r="AY41" s="270">
        <f t="shared" si="16"/>
        <v>76.641399850797811</v>
      </c>
      <c r="AZ41" s="270">
        <f t="shared" si="17"/>
        <v>0.99985555964138739</v>
      </c>
      <c r="BD41" s="178">
        <v>13.988144990182633</v>
      </c>
      <c r="BE41" s="118">
        <v>0.3629197510487126</v>
      </c>
      <c r="BF41" s="118">
        <v>0.3629197510487126</v>
      </c>
      <c r="BG41" s="118">
        <f t="shared" si="18"/>
        <v>0.7258395020974252</v>
      </c>
      <c r="BH41" s="171">
        <v>13.988144990182633</v>
      </c>
      <c r="BI41" s="118">
        <v>6.9164909024294561</v>
      </c>
    </row>
    <row r="42" spans="1:66">
      <c r="A42" s="203">
        <v>174</v>
      </c>
      <c r="B42" s="69">
        <v>0.44820601851851855</v>
      </c>
      <c r="C42" s="184">
        <v>0.44905092592592594</v>
      </c>
      <c r="D42" s="204">
        <v>0.44883101851851853</v>
      </c>
      <c r="F42" s="173" t="s">
        <v>190</v>
      </c>
      <c r="G42" s="205" t="s">
        <v>17</v>
      </c>
      <c r="H42" s="206">
        <v>1.6002000000000001</v>
      </c>
      <c r="I42" s="170">
        <v>101325</v>
      </c>
      <c r="J42" s="218">
        <v>42.08</v>
      </c>
      <c r="K42" s="218">
        <v>42.08</v>
      </c>
      <c r="L42" s="224">
        <v>1</v>
      </c>
      <c r="M42" s="171">
        <v>48</v>
      </c>
      <c r="N42" s="171">
        <v>28</v>
      </c>
      <c r="O42" s="171">
        <v>72</v>
      </c>
      <c r="P42" s="171">
        <v>1.44</v>
      </c>
      <c r="Q42" s="171">
        <v>250</v>
      </c>
      <c r="R42" s="171">
        <v>452</v>
      </c>
      <c r="S42" s="118">
        <f>R42*Reference!$F$78+Reference!$F$79</f>
        <v>15.486779909668897</v>
      </c>
      <c r="T42" s="118">
        <v>37</v>
      </c>
      <c r="U42" s="118">
        <f>T42*-Reference!$F$78</f>
        <v>8.5098320334240416</v>
      </c>
      <c r="V42" s="178">
        <f>Reference!$L$22</f>
        <v>1743.448114147531</v>
      </c>
      <c r="W42" s="6">
        <v>2331.98</v>
      </c>
      <c r="X42" s="123">
        <f>Reference!$W$22</f>
        <v>4.9660000000000003E-2</v>
      </c>
      <c r="Y42" s="123">
        <f t="shared" si="7"/>
        <v>6.4357834526886323E-5</v>
      </c>
      <c r="Z42" s="118">
        <f>M42*Reference!$L$7</f>
        <v>19.68</v>
      </c>
      <c r="AA42" s="118">
        <f t="shared" si="29"/>
        <v>19.68</v>
      </c>
      <c r="AB42" s="118">
        <f>Z42*Reference!$L$22/(60*10^3)</f>
        <v>0.57185098144039015</v>
      </c>
      <c r="AC42" s="118">
        <f t="shared" si="30"/>
        <v>0.57185098144039015</v>
      </c>
      <c r="AD42" s="118">
        <f>N42*Reference!$F$10+Reference!$F$11</f>
        <v>20.407661172924605</v>
      </c>
      <c r="AE42" s="118">
        <f t="shared" si="24"/>
        <v>16.309304086064877</v>
      </c>
      <c r="AF42" s="118">
        <f t="shared" si="8"/>
        <v>32.618608172129754</v>
      </c>
      <c r="AG42" s="118">
        <f t="shared" si="9"/>
        <v>0.62564475667485653</v>
      </c>
      <c r="AH42" s="224">
        <f>(AE42/100)*Reference!$L$22*(H42/1000)/(Reference!$W$22)</f>
        <v>9.1624582376447581</v>
      </c>
      <c r="AI42" s="224">
        <f>(AE42/100)*Reference!$L$22*(H42/1000)/(Reference!$P$26)</f>
        <v>24.202535961778654</v>
      </c>
      <c r="AJ42" s="224">
        <f>(AE42/100)*Reference!$L$22*(H42/1000)/(Reference!$P$22)</f>
        <v>52.982187629761448</v>
      </c>
      <c r="AK42" s="224">
        <f>AH42/Reference!$R$22</f>
        <v>143.76542769165818</v>
      </c>
      <c r="AL42" s="224">
        <f>AI42/(Reference!$R$22)</f>
        <v>379.75484782807155</v>
      </c>
      <c r="AM42" s="224">
        <f>AB42/(Reference!$R$22)</f>
        <v>8.972744954503078</v>
      </c>
      <c r="AN42" s="118">
        <f t="shared" si="25"/>
        <v>9.6780276900817999</v>
      </c>
      <c r="AO42" s="179">
        <f t="shared" si="10"/>
        <v>3.0579717730818616E-4</v>
      </c>
      <c r="AP42" s="123"/>
      <c r="AQ42" s="270">
        <f t="shared" si="11"/>
        <v>0.79917556195527539</v>
      </c>
      <c r="AR42" s="270">
        <f t="shared" si="12"/>
        <v>2.1863974416729163E-5</v>
      </c>
      <c r="AS42" s="270">
        <f t="shared" si="26"/>
        <v>1.3428918177774639E-4</v>
      </c>
      <c r="AT42" s="270">
        <f t="shared" si="27"/>
        <v>75.885398449349168</v>
      </c>
      <c r="AU42" s="270">
        <f t="shared" si="13"/>
        <v>21.033955697260975</v>
      </c>
      <c r="AV42" s="270">
        <f t="shared" si="14"/>
        <v>17.703982761462225</v>
      </c>
      <c r="AW42" s="270">
        <f t="shared" si="15"/>
        <v>3.3299729357987502</v>
      </c>
      <c r="AX42" s="270">
        <f t="shared" si="28"/>
        <v>37.942121733860418</v>
      </c>
      <c r="AY42" s="270">
        <f t="shared" si="16"/>
        <v>37.94327671548875</v>
      </c>
      <c r="AZ42" s="270">
        <f t="shared" si="17"/>
        <v>0.9999695603087474</v>
      </c>
      <c r="BA42" s="118"/>
      <c r="BB42" s="118"/>
      <c r="BD42" s="178">
        <v>15.486779909668897</v>
      </c>
      <c r="BE42" s="171">
        <v>0.62564475667485653</v>
      </c>
      <c r="BF42" s="171">
        <v>0.62564475667485653</v>
      </c>
      <c r="BG42" s="118">
        <f t="shared" si="18"/>
        <v>1.2512895133497131</v>
      </c>
      <c r="BH42" s="171">
        <v>15.486779909668897</v>
      </c>
      <c r="BI42" s="116">
        <v>8.972744954503078</v>
      </c>
    </row>
    <row r="43" spans="1:66">
      <c r="A43" s="203">
        <v>174</v>
      </c>
      <c r="B43" s="69">
        <v>0.45035879629629627</v>
      </c>
      <c r="C43" s="184">
        <v>0.4508449074074074</v>
      </c>
      <c r="D43" s="204">
        <v>0.45069444444444445</v>
      </c>
      <c r="F43" s="173" t="s">
        <v>191</v>
      </c>
      <c r="G43" s="205" t="s">
        <v>17</v>
      </c>
      <c r="H43" s="206">
        <v>1.6002000000000001</v>
      </c>
      <c r="I43" s="170">
        <v>101325</v>
      </c>
      <c r="J43" s="218">
        <v>42.08</v>
      </c>
      <c r="K43" s="218">
        <v>42.08</v>
      </c>
      <c r="L43" s="224">
        <v>1</v>
      </c>
      <c r="M43" s="171">
        <v>33</v>
      </c>
      <c r="N43" s="171">
        <v>17</v>
      </c>
      <c r="O43" s="171">
        <v>56</v>
      </c>
      <c r="P43" s="171">
        <v>1.1599999999999999</v>
      </c>
      <c r="Q43" s="171">
        <v>250</v>
      </c>
      <c r="R43" s="171">
        <v>461</v>
      </c>
      <c r="S43" s="118">
        <f>R43*Reference!$F$78+Reference!$F$79</f>
        <v>13.416820766403589</v>
      </c>
      <c r="T43" s="118">
        <v>35</v>
      </c>
      <c r="U43" s="118">
        <f>T43*-Reference!$F$78</f>
        <v>8.0498411126984184</v>
      </c>
      <c r="V43" s="178">
        <f>Reference!$L$22</f>
        <v>1743.448114147531</v>
      </c>
      <c r="W43" s="6">
        <v>2331.98</v>
      </c>
      <c r="X43" s="123">
        <f>Reference!$W$22</f>
        <v>4.9660000000000003E-2</v>
      </c>
      <c r="Y43" s="123">
        <f t="shared" si="7"/>
        <v>6.4357834526886323E-5</v>
      </c>
      <c r="Z43" s="118">
        <f>M43*Reference!$L$7</f>
        <v>13.53</v>
      </c>
      <c r="AA43" s="118">
        <f t="shared" si="29"/>
        <v>13.53</v>
      </c>
      <c r="AB43" s="118">
        <f>Z43*Reference!$L$22/(60*10^3)</f>
        <v>0.39314754974026822</v>
      </c>
      <c r="AC43" s="118">
        <f t="shared" si="30"/>
        <v>0.39314754974026822</v>
      </c>
      <c r="AD43" s="118">
        <f>N43*Reference!$F$10+Reference!$F$11</f>
        <v>10.065291943326404</v>
      </c>
      <c r="AE43" s="118">
        <f t="shared" si="24"/>
        <v>11.212646559169603</v>
      </c>
      <c r="AF43" s="118">
        <f t="shared" si="8"/>
        <v>22.425293118339205</v>
      </c>
      <c r="AG43" s="118">
        <f t="shared" si="9"/>
        <v>0.44883658332631104</v>
      </c>
      <c r="AH43" s="224">
        <f>(AE43/100)*Reference!$L$22*(H43/1000)/(Reference!$W$22)</f>
        <v>6.2991900383807709</v>
      </c>
      <c r="AI43" s="224">
        <f>(AE43/100)*Reference!$L$22*(H43/1000)/(Reference!$P$26)</f>
        <v>16.639243473722821</v>
      </c>
      <c r="AJ43" s="224">
        <f>(AE43/100)*Reference!$L$22*(H43/1000)/(Reference!$P$22)</f>
        <v>36.425253995460992</v>
      </c>
      <c r="AK43" s="224">
        <f>AH43/Reference!$R$22</f>
        <v>98.838731538014983</v>
      </c>
      <c r="AL43" s="224">
        <f>AI43/(Reference!$R$22)</f>
        <v>261.08145788179911</v>
      </c>
      <c r="AM43" s="224">
        <f>AB43/(Reference!$R$22)</f>
        <v>6.1687621562208665</v>
      </c>
      <c r="AN43" s="118">
        <f t="shared" si="25"/>
        <v>8.3844649208871314</v>
      </c>
      <c r="AO43" s="179">
        <f t="shared" si="10"/>
        <v>3.0579717730818616E-4</v>
      </c>
      <c r="AP43" s="123"/>
      <c r="AQ43" s="270">
        <f t="shared" si="11"/>
        <v>1.1139911909464215</v>
      </c>
      <c r="AR43" s="270">
        <f t="shared" si="12"/>
        <v>5.487524797401138E-5</v>
      </c>
      <c r="AS43" s="270">
        <f t="shared" si="26"/>
        <v>3.3298084197363288E-4</v>
      </c>
      <c r="AT43" s="270">
        <f t="shared" si="27"/>
        <v>133.28590021472766</v>
      </c>
      <c r="AU43" s="270">
        <f t="shared" si="13"/>
        <v>29.297738538526925</v>
      </c>
      <c r="AV43" s="270">
        <f t="shared" si="14"/>
        <v>22.918622919851462</v>
      </c>
      <c r="AW43" s="270">
        <f t="shared" si="15"/>
        <v>6.3791156186754634</v>
      </c>
      <c r="AX43" s="270">
        <f t="shared" si="28"/>
        <v>66.639568649691142</v>
      </c>
      <c r="AY43" s="270">
        <f t="shared" si="16"/>
        <v>66.646331565036519</v>
      </c>
      <c r="AZ43" s="270">
        <f t="shared" si="17"/>
        <v>0.99989852531734957</v>
      </c>
      <c r="BA43" s="118"/>
      <c r="BB43" s="118"/>
      <c r="BD43" s="178">
        <v>13.416820766403589</v>
      </c>
      <c r="BE43" s="171">
        <v>0.44883658332631104</v>
      </c>
      <c r="BF43" s="171">
        <v>0.44883658332631104</v>
      </c>
      <c r="BG43" s="118">
        <f t="shared" si="18"/>
        <v>0.89767316665262209</v>
      </c>
      <c r="BH43" s="171">
        <v>13.416820766403589</v>
      </c>
      <c r="BI43" s="116">
        <v>6.1687621562208665</v>
      </c>
    </row>
    <row r="44" spans="1:66">
      <c r="A44" s="203">
        <v>174</v>
      </c>
      <c r="B44" s="69">
        <v>0.46160879629629631</v>
      </c>
      <c r="C44" s="184">
        <v>0.42037037037037034</v>
      </c>
      <c r="D44" s="69">
        <v>0.46225694444444443</v>
      </c>
      <c r="F44" s="173" t="s">
        <v>192</v>
      </c>
      <c r="G44" s="205" t="s">
        <v>17</v>
      </c>
      <c r="H44" s="206">
        <v>1.6002000000000001</v>
      </c>
      <c r="I44" s="170">
        <v>101325</v>
      </c>
      <c r="J44" s="218">
        <v>42.08</v>
      </c>
      <c r="K44" s="218">
        <v>42.08</v>
      </c>
      <c r="L44" s="224">
        <v>1</v>
      </c>
      <c r="M44" s="118">
        <v>60</v>
      </c>
      <c r="N44" s="118">
        <v>38</v>
      </c>
      <c r="O44" s="118">
        <v>88</v>
      </c>
      <c r="P44" s="118">
        <v>1.5</v>
      </c>
      <c r="Q44" s="118">
        <v>250</v>
      </c>
      <c r="R44" s="171">
        <v>443</v>
      </c>
      <c r="S44" s="118">
        <f>R44*Reference!$F$78+Reference!$F$79</f>
        <v>17.556739052934205</v>
      </c>
      <c r="T44" s="118">
        <v>35</v>
      </c>
      <c r="U44" s="118">
        <f>T44*-Reference!$F$78</f>
        <v>8.0498411126984184</v>
      </c>
      <c r="V44" s="178">
        <f>Reference!$L$22</f>
        <v>1743.448114147531</v>
      </c>
      <c r="W44" s="6">
        <v>2331.98</v>
      </c>
      <c r="X44" s="123">
        <f>Reference!$W$22</f>
        <v>4.9660000000000003E-2</v>
      </c>
      <c r="Y44" s="123">
        <f t="shared" si="7"/>
        <v>6.4357834526886323E-5</v>
      </c>
      <c r="Z44" s="118">
        <f>M44*Reference!$L$7</f>
        <v>24.599999999999998</v>
      </c>
      <c r="AA44" s="118">
        <f t="shared" si="29"/>
        <v>24.599999999999998</v>
      </c>
      <c r="AB44" s="118">
        <f>Z44*Reference!$L$22/(60*10^3)</f>
        <v>0.7148137268004876</v>
      </c>
      <c r="AC44" s="118">
        <f t="shared" si="30"/>
        <v>0.7148137268004876</v>
      </c>
      <c r="AD44" s="118">
        <f>N44*Reference!$F$10+Reference!$F$11</f>
        <v>29.809815018013886</v>
      </c>
      <c r="AE44" s="118">
        <f t="shared" si="24"/>
        <v>20.386630107581095</v>
      </c>
      <c r="AF44" s="118">
        <f t="shared" si="8"/>
        <v>40.773260215162189</v>
      </c>
      <c r="AG44" s="118">
        <f t="shared" si="9"/>
        <v>0.73111188216753464</v>
      </c>
      <c r="AH44" s="224">
        <f>(AE44/100)*Reference!$L$22*(H44/1000)/(Reference!$W$22)</f>
        <v>11.453072797055945</v>
      </c>
      <c r="AI44" s="224">
        <f>(AE44/100)*Reference!$L$22*(H44/1000)/(Reference!$P$26)</f>
        <v>30.253169952223313</v>
      </c>
      <c r="AJ44" s="224">
        <f>(AE44/100)*Reference!$L$22*(H44/1000)/(Reference!$P$22)</f>
        <v>66.227734537201798</v>
      </c>
      <c r="AK44" s="224">
        <f>AH44/Reference!$R$22</f>
        <v>179.70678461457268</v>
      </c>
      <c r="AL44" s="224">
        <f>AI44/(Reference!$R$22)</f>
        <v>474.69355978508935</v>
      </c>
      <c r="AM44" s="224">
        <f>AB44/(Reference!$R$22)</f>
        <v>11.215931193128846</v>
      </c>
      <c r="AN44" s="118">
        <f t="shared" si="25"/>
        <v>10.971590459276468</v>
      </c>
      <c r="AO44" s="179">
        <f t="shared" si="10"/>
        <v>3.0579717730818616E-4</v>
      </c>
      <c r="AP44" s="123"/>
      <c r="AQ44" s="271">
        <f t="shared" si="11"/>
        <v>0.68388985625243159</v>
      </c>
      <c r="AR44" s="271">
        <f t="shared" si="12"/>
        <v>-5.366905389982749E-5</v>
      </c>
      <c r="AS44" s="271">
        <f t="shared" si="26"/>
        <v>-3.6714545200937837E-4</v>
      </c>
      <c r="AT44" s="270">
        <f t="shared" si="27"/>
        <v>58.897430423067313</v>
      </c>
      <c r="AU44" s="270" t="e">
        <f t="shared" si="13"/>
        <v>#NUM!</v>
      </c>
      <c r="AV44" s="270" t="e">
        <f t="shared" si="14"/>
        <v>#NUM!</v>
      </c>
      <c r="AW44" s="270" t="e">
        <f t="shared" si="15"/>
        <v>#NUM!</v>
      </c>
      <c r="AX44" s="270">
        <f t="shared" si="28"/>
        <v>29.449186106427085</v>
      </c>
      <c r="AY44" s="270">
        <f t="shared" si="16"/>
        <v>29.448244316640228</v>
      </c>
      <c r="AZ44" s="270">
        <f t="shared" si="17"/>
        <v>1.0000319811862715</v>
      </c>
      <c r="BA44" s="118"/>
      <c r="BB44" s="118"/>
      <c r="BD44" s="178">
        <v>17.556739052934205</v>
      </c>
      <c r="BE44" s="171">
        <v>0.73111188216753464</v>
      </c>
      <c r="BF44" s="171">
        <v>0.73111188216753464</v>
      </c>
      <c r="BG44" s="118">
        <f t="shared" si="18"/>
        <v>1.4622237643350693</v>
      </c>
      <c r="BH44" s="118">
        <v>17.556739052934205</v>
      </c>
      <c r="BI44" s="116">
        <v>11.215931193128846</v>
      </c>
    </row>
    <row r="45" spans="1:66">
      <c r="A45" s="203">
        <v>174</v>
      </c>
      <c r="B45" s="69">
        <v>0.46755787037037039</v>
      </c>
      <c r="C45" s="184">
        <v>0.46883101851851849</v>
      </c>
      <c r="D45" s="204">
        <v>0.46813657407407411</v>
      </c>
      <c r="F45" s="173" t="s">
        <v>193</v>
      </c>
      <c r="G45" s="205" t="s">
        <v>17</v>
      </c>
      <c r="H45" s="206">
        <v>1.6002000000000001</v>
      </c>
      <c r="I45" s="170">
        <v>101325</v>
      </c>
      <c r="J45" s="218">
        <v>42.08</v>
      </c>
      <c r="K45" s="218">
        <v>42.08</v>
      </c>
      <c r="L45" s="224">
        <v>1</v>
      </c>
      <c r="M45" s="171">
        <v>98</v>
      </c>
      <c r="N45" s="171">
        <v>67</v>
      </c>
      <c r="O45" s="171">
        <v>139</v>
      </c>
      <c r="P45" s="171">
        <v>2.4</v>
      </c>
      <c r="Q45" s="171">
        <v>250</v>
      </c>
      <c r="R45" s="171">
        <v>404</v>
      </c>
      <c r="S45" s="118">
        <f>R45*Reference!$F$78+Reference!$F$79</f>
        <v>26.526562007083882</v>
      </c>
      <c r="T45" s="118">
        <v>30</v>
      </c>
      <c r="U45" s="118">
        <f>T45*-Reference!$F$78</f>
        <v>6.8998638108843577</v>
      </c>
      <c r="V45" s="178">
        <f>Reference!$L$22</f>
        <v>1743.448114147531</v>
      </c>
      <c r="W45" s="6">
        <v>2331.98</v>
      </c>
      <c r="X45" s="123">
        <f>Reference!$W$22</f>
        <v>4.9660000000000003E-2</v>
      </c>
      <c r="Y45" s="123">
        <f t="shared" si="7"/>
        <v>6.4357834526886323E-5</v>
      </c>
      <c r="Z45" s="118">
        <f>M45*Reference!$L$7</f>
        <v>40.18</v>
      </c>
      <c r="AA45" s="118">
        <f t="shared" si="29"/>
        <v>40.18</v>
      </c>
      <c r="AB45" s="118">
        <f>Z45*Reference!$L$22/(60*10^3)</f>
        <v>1.1675290871074633</v>
      </c>
      <c r="AC45" s="118">
        <f t="shared" si="30"/>
        <v>1.1675290871074633</v>
      </c>
      <c r="AD45" s="118">
        <f>N45*Reference!$F$10+Reference!$F$11</f>
        <v>57.076061168772782</v>
      </c>
      <c r="AE45" s="118">
        <f t="shared" si="24"/>
        <v>33.298162509049128</v>
      </c>
      <c r="AF45" s="118">
        <f t="shared" si="8"/>
        <v>66.596325018098256</v>
      </c>
      <c r="AG45" s="118">
        <f t="shared" si="9"/>
        <v>0.85704520712309218</v>
      </c>
      <c r="AH45" s="224">
        <f>(AE45/100)*Reference!$L$22*(H45/1000)/(Reference!$W$22)</f>
        <v>18.706685568524716</v>
      </c>
      <c r="AI45" s="224">
        <f>(AE45/100)*Reference!$L$22*(H45/1000)/(Reference!$P$26)</f>
        <v>49.413510921964757</v>
      </c>
      <c r="AJ45" s="224">
        <f>(AE45/100)*Reference!$L$22*(H45/1000)/(Reference!$P$22)</f>
        <v>108.17196641076296</v>
      </c>
      <c r="AK45" s="224">
        <f>AH45/Reference!$R$22</f>
        <v>293.52108153713544</v>
      </c>
      <c r="AL45" s="224">
        <f>AI45/(Reference!$R$22)</f>
        <v>775.33281431564615</v>
      </c>
      <c r="AM45" s="224">
        <f>AB45/(Reference!$R$22)</f>
        <v>18.319354282110453</v>
      </c>
      <c r="AN45" s="118">
        <f t="shared" si="25"/>
        <v>16.577029125786702</v>
      </c>
      <c r="AO45" s="179">
        <f t="shared" si="10"/>
        <v>3.0579717730818616E-4</v>
      </c>
      <c r="AP45" s="123"/>
      <c r="AQ45" s="271">
        <f t="shared" si="11"/>
        <v>0.58339979716867851</v>
      </c>
      <c r="AR45" s="271">
        <f t="shared" si="12"/>
        <v>-4.2296156344043289E-4</v>
      </c>
      <c r="AS45" s="271">
        <f t="shared" si="26"/>
        <v>-3.3320628251579431E-3</v>
      </c>
      <c r="AT45" s="270">
        <f t="shared" si="27"/>
        <v>46.477526044735313</v>
      </c>
      <c r="AU45" s="270" t="e">
        <f t="shared" si="13"/>
        <v>#NUM!</v>
      </c>
      <c r="AV45" s="270" t="e">
        <f t="shared" si="14"/>
        <v>#NUM!</v>
      </c>
      <c r="AW45" s="270" t="e">
        <f t="shared" si="15"/>
        <v>#NUM!</v>
      </c>
      <c r="AX45" s="270">
        <f t="shared" si="28"/>
        <v>23.238762373651504</v>
      </c>
      <c r="AY45" s="270">
        <f t="shared" si="16"/>
        <v>23.238763671083809</v>
      </c>
      <c r="AZ45" s="270">
        <f t="shared" si="17"/>
        <v>0.99999994416947802</v>
      </c>
      <c r="BA45" s="118"/>
      <c r="BB45" s="118"/>
      <c r="BD45" s="178">
        <v>26.526562007083882</v>
      </c>
      <c r="BE45" s="171">
        <v>0.85704520712309218</v>
      </c>
      <c r="BF45" s="171">
        <v>0.85704520712309218</v>
      </c>
      <c r="BG45" s="118">
        <f t="shared" si="18"/>
        <v>1.7140904142461844</v>
      </c>
      <c r="BH45" s="118">
        <v>26.526562007083882</v>
      </c>
      <c r="BI45" s="116">
        <v>18.319354282110453</v>
      </c>
    </row>
    <row r="46" spans="1:66">
      <c r="A46" s="203">
        <v>174</v>
      </c>
      <c r="B46" s="69">
        <v>0.4727662037037037</v>
      </c>
      <c r="C46" s="184">
        <v>0.47421296296296295</v>
      </c>
      <c r="D46" s="204">
        <v>0.47401620370370368</v>
      </c>
      <c r="F46" s="173" t="s">
        <v>194</v>
      </c>
      <c r="G46" s="205" t="s">
        <v>17</v>
      </c>
      <c r="H46" s="206">
        <v>1.6002000000000001</v>
      </c>
      <c r="I46" s="170">
        <v>101325</v>
      </c>
      <c r="J46" s="218">
        <v>42.08</v>
      </c>
      <c r="K46" s="218">
        <v>42.08</v>
      </c>
      <c r="L46" s="224">
        <v>1</v>
      </c>
      <c r="M46" s="171">
        <v>81</v>
      </c>
      <c r="N46" s="171">
        <v>56</v>
      </c>
      <c r="O46" s="171">
        <v>118</v>
      </c>
      <c r="P46" s="171">
        <v>2.02</v>
      </c>
      <c r="Q46" s="171">
        <v>250</v>
      </c>
      <c r="R46" s="171">
        <v>419</v>
      </c>
      <c r="S46" s="118">
        <f>R46*Reference!$F$78+Reference!$F$79</f>
        <v>23.076630101641697</v>
      </c>
      <c r="T46" s="118">
        <v>32</v>
      </c>
      <c r="U46" s="118">
        <f>T46*-Reference!$F$78</f>
        <v>7.3598547316099818</v>
      </c>
      <c r="V46" s="178">
        <f>Reference!$L$22</f>
        <v>1743.448114147531</v>
      </c>
      <c r="W46" s="6">
        <v>2331.98</v>
      </c>
      <c r="X46" s="123">
        <f>Reference!$W$22</f>
        <v>4.9660000000000003E-2</v>
      </c>
      <c r="Y46" s="123">
        <f t="shared" si="7"/>
        <v>6.4357834526886323E-5</v>
      </c>
      <c r="Z46" s="118">
        <f>M46*Reference!$L$7</f>
        <v>33.21</v>
      </c>
      <c r="AA46" s="118">
        <f t="shared" si="29"/>
        <v>33.21</v>
      </c>
      <c r="AB46" s="118">
        <f>Z46*Reference!$L$22/(60*10^3)</f>
        <v>0.96499853118065837</v>
      </c>
      <c r="AC46" s="118">
        <f t="shared" si="30"/>
        <v>0.96499853118065837</v>
      </c>
      <c r="AD46" s="118">
        <f>N46*Reference!$F$10+Reference!$F$11</f>
        <v>46.733691939174577</v>
      </c>
      <c r="AE46" s="118">
        <f t="shared" si="24"/>
        <v>27.521950645234483</v>
      </c>
      <c r="AF46" s="118">
        <f t="shared" si="8"/>
        <v>55.043901290468966</v>
      </c>
      <c r="AG46" s="118">
        <f t="shared" si="9"/>
        <v>0.84902579293133551</v>
      </c>
      <c r="AH46" s="224">
        <f>(AE46/100)*Reference!$L$22*(H46/1000)/(Reference!$W$22)</f>
        <v>15.461648276025532</v>
      </c>
      <c r="AI46" s="224">
        <f>(AE46/100)*Reference!$L$22*(H46/1000)/(Reference!$P$26)</f>
        <v>40.841779435501486</v>
      </c>
      <c r="AJ46" s="224">
        <f>(AE46/100)*Reference!$L$22*(H46/1000)/(Reference!$P$22)</f>
        <v>89.407441625222447</v>
      </c>
      <c r="AK46" s="224">
        <f>AH46/Reference!$R$22</f>
        <v>242.6041592296732</v>
      </c>
      <c r="AL46" s="224">
        <f>AI46/(Reference!$R$22)</f>
        <v>640.83630570987089</v>
      </c>
      <c r="AM46" s="224">
        <f>AB46/(Reference!$R$22)</f>
        <v>15.141507110723945</v>
      </c>
      <c r="AN46" s="118">
        <f t="shared" si="25"/>
        <v>14.42109117712892</v>
      </c>
      <c r="AO46" s="179">
        <f t="shared" si="10"/>
        <v>3.0579717730818616E-4</v>
      </c>
      <c r="AP46" s="123"/>
      <c r="AQ46" s="271">
        <f t="shared" si="11"/>
        <v>0.58891025945596587</v>
      </c>
      <c r="AR46" s="271">
        <f t="shared" si="12"/>
        <v>-2.7677591733178296E-4</v>
      </c>
      <c r="AS46" s="271">
        <f t="shared" si="26"/>
        <v>-2.4979146640451899E-3</v>
      </c>
      <c r="AT46" s="270">
        <f t="shared" si="27"/>
        <v>49.38082878291484</v>
      </c>
      <c r="AU46" s="270" t="e">
        <f t="shared" si="13"/>
        <v>#NUM!</v>
      </c>
      <c r="AV46" s="270" t="e">
        <f t="shared" si="14"/>
        <v>#NUM!</v>
      </c>
      <c r="AW46" s="270" t="e">
        <f t="shared" si="15"/>
        <v>#NUM!</v>
      </c>
      <c r="AX46" s="270">
        <f t="shared" si="28"/>
        <v>24.690519457391378</v>
      </c>
      <c r="AY46" s="270">
        <f t="shared" si="16"/>
        <v>24.690309325523462</v>
      </c>
      <c r="AZ46" s="270">
        <f t="shared" si="17"/>
        <v>1.0000085107021199</v>
      </c>
      <c r="BA46" s="118"/>
      <c r="BB46" s="118"/>
      <c r="BD46" s="178">
        <v>23.076630101641697</v>
      </c>
      <c r="BE46" s="171">
        <v>0.84902579293133551</v>
      </c>
      <c r="BF46" s="171">
        <v>0.84902579293133551</v>
      </c>
      <c r="BG46" s="118">
        <f t="shared" si="18"/>
        <v>1.698051585862671</v>
      </c>
      <c r="BH46" s="118">
        <v>23.076630101641697</v>
      </c>
      <c r="BI46" s="116">
        <v>15.141507110723945</v>
      </c>
    </row>
    <row r="47" spans="1:66">
      <c r="A47" s="203">
        <v>174</v>
      </c>
      <c r="B47" s="69">
        <v>0.4753472222222222</v>
      </c>
      <c r="C47" s="184">
        <v>0.47630787037037042</v>
      </c>
      <c r="D47" s="204">
        <v>0.47605324074074074</v>
      </c>
      <c r="F47" s="173" t="s">
        <v>195</v>
      </c>
      <c r="G47" s="205" t="s">
        <v>17</v>
      </c>
      <c r="H47" s="206">
        <v>1.6002000000000001</v>
      </c>
      <c r="I47" s="170">
        <v>101325</v>
      </c>
      <c r="J47" s="218">
        <v>42.08</v>
      </c>
      <c r="K47" s="218">
        <v>42.08</v>
      </c>
      <c r="L47" s="224">
        <v>1</v>
      </c>
      <c r="M47" s="171">
        <v>64</v>
      </c>
      <c r="N47" s="171">
        <v>49</v>
      </c>
      <c r="O47" s="171">
        <v>90</v>
      </c>
      <c r="P47" s="171">
        <v>1.66</v>
      </c>
      <c r="Q47" s="171">
        <v>250</v>
      </c>
      <c r="R47" s="171">
        <v>435</v>
      </c>
      <c r="S47" s="118">
        <f>R47*Reference!$F$78+Reference!$F$79</f>
        <v>19.396702735836712</v>
      </c>
      <c r="T47" s="118">
        <v>32</v>
      </c>
      <c r="U47" s="118">
        <f>T47*-Reference!$F$78</f>
        <v>7.3598547316099818</v>
      </c>
      <c r="V47" s="178">
        <f>Reference!$L$22</f>
        <v>1743.448114147531</v>
      </c>
      <c r="W47" s="6">
        <v>2331.98</v>
      </c>
      <c r="X47" s="123">
        <f>Reference!$W$22</f>
        <v>4.9660000000000003E-2</v>
      </c>
      <c r="Y47" s="123">
        <f t="shared" si="7"/>
        <v>6.4357834526886323E-5</v>
      </c>
      <c r="Z47" s="118">
        <f>M47*Reference!$L$7</f>
        <v>26.24</v>
      </c>
      <c r="AA47" s="118">
        <f t="shared" si="29"/>
        <v>26.24</v>
      </c>
      <c r="AB47" s="118">
        <f>Z47*Reference!$L$22/(60*10^3)</f>
        <v>0.76246797525385346</v>
      </c>
      <c r="AC47" s="118">
        <f t="shared" si="30"/>
        <v>0.76246797525385346</v>
      </c>
      <c r="AD47" s="118">
        <f>N47*Reference!$F$10+Reference!$F$11</f>
        <v>40.152184247612084</v>
      </c>
      <c r="AE47" s="118">
        <f t="shared" si="24"/>
        <v>21.745738781419835</v>
      </c>
      <c r="AF47" s="118">
        <f t="shared" si="8"/>
        <v>43.49147756283967</v>
      </c>
      <c r="AG47" s="118">
        <f t="shared" si="9"/>
        <v>0.92321959376057683</v>
      </c>
      <c r="AH47" s="224">
        <f>(AE47/100)*Reference!$L$22*(H47/1000)/(Reference!$W$22)</f>
        <v>12.216610983526342</v>
      </c>
      <c r="AI47" s="224">
        <f>(AE47/100)*Reference!$L$22*(H47/1000)/(Reference!$P$26)</f>
        <v>32.270047949038201</v>
      </c>
      <c r="AJ47" s="224">
        <f>(AE47/100)*Reference!$L$22*(H47/1000)/(Reference!$P$22)</f>
        <v>70.642916839681916</v>
      </c>
      <c r="AK47" s="224">
        <f>AH47/Reference!$R$22</f>
        <v>191.68723692221087</v>
      </c>
      <c r="AL47" s="224">
        <f>AI47/(Reference!$R$22)</f>
        <v>506.33979710409534</v>
      </c>
      <c r="AM47" s="224">
        <f>AB47/(Reference!$R$22)</f>
        <v>11.963659939337436</v>
      </c>
      <c r="AN47" s="118">
        <f t="shared" si="25"/>
        <v>12.121424031893957</v>
      </c>
      <c r="AO47" s="179">
        <f t="shared" si="10"/>
        <v>3.0579717730818616E-4</v>
      </c>
      <c r="AP47" s="123"/>
      <c r="AQ47" s="271">
        <f t="shared" si="11"/>
        <v>0.54158295965463177</v>
      </c>
      <c r="AR47" s="271">
        <f t="shared" si="12"/>
        <v>-2.4309032842370607E-4</v>
      </c>
      <c r="AS47" s="271">
        <f t="shared" si="26"/>
        <v>-5.4597703498039021E-3</v>
      </c>
      <c r="AT47" s="270">
        <f t="shared" si="27"/>
        <v>48.308896033983324</v>
      </c>
      <c r="AU47" s="270" t="e">
        <f t="shared" si="13"/>
        <v>#NUM!</v>
      </c>
      <c r="AV47" s="270" t="e">
        <f t="shared" si="14"/>
        <v>#NUM!</v>
      </c>
      <c r="AW47" s="270" t="e">
        <f t="shared" si="15"/>
        <v>#NUM!</v>
      </c>
      <c r="AX47" s="270">
        <f t="shared" si="28"/>
        <v>24.153477237909254</v>
      </c>
      <c r="AY47" s="270">
        <f t="shared" si="16"/>
        <v>24.15541879607407</v>
      </c>
      <c r="AZ47" s="270">
        <f t="shared" si="17"/>
        <v>0.99991962225200037</v>
      </c>
      <c r="BA47" s="118"/>
      <c r="BB47" s="118"/>
      <c r="BD47" s="178">
        <v>19.396702735836712</v>
      </c>
      <c r="BE47" s="171">
        <v>0.92321959376057683</v>
      </c>
      <c r="BF47" s="171">
        <v>0.92321959376057683</v>
      </c>
      <c r="BG47" s="118">
        <f t="shared" si="18"/>
        <v>1.8464391875211537</v>
      </c>
      <c r="BH47" s="171">
        <v>19.396702735836712</v>
      </c>
      <c r="BI47" s="116">
        <v>11.963659939337436</v>
      </c>
    </row>
    <row r="48" spans="1:66" s="118" customFormat="1">
      <c r="A48" s="201" t="s">
        <v>70</v>
      </c>
      <c r="B48" s="69">
        <v>0.44530092592592596</v>
      </c>
      <c r="C48" s="184">
        <v>0.44604166666666667</v>
      </c>
      <c r="D48" s="69">
        <v>0.44543981481481482</v>
      </c>
      <c r="E48" s="173" t="s">
        <v>72</v>
      </c>
      <c r="F48" s="173" t="s">
        <v>165</v>
      </c>
      <c r="G48" s="202" t="s">
        <v>17</v>
      </c>
      <c r="H48" s="188">
        <v>0.76200000000000001</v>
      </c>
      <c r="I48" s="170">
        <v>101325</v>
      </c>
      <c r="J48" s="218">
        <v>42.08</v>
      </c>
      <c r="K48" s="218">
        <v>42.08</v>
      </c>
      <c r="L48" s="224">
        <v>1</v>
      </c>
      <c r="M48" s="118">
        <v>84</v>
      </c>
      <c r="N48" s="118">
        <v>50</v>
      </c>
      <c r="O48" s="118">
        <v>139</v>
      </c>
      <c r="P48" s="118">
        <v>2.13</v>
      </c>
      <c r="Q48" s="118">
        <v>250</v>
      </c>
      <c r="R48" s="118">
        <v>410</v>
      </c>
      <c r="S48" s="118">
        <f>R48*Reference!$N$42+Reference!$N$43</f>
        <v>26.634972526249655</v>
      </c>
      <c r="T48" s="118">
        <v>23</v>
      </c>
      <c r="U48" s="118">
        <f>T48*-Reference!$N$42</f>
        <v>5.1942327380275293</v>
      </c>
      <c r="V48" s="178">
        <f>Reference!$L$22</f>
        <v>1743.448114147531</v>
      </c>
      <c r="W48" s="6">
        <v>2331.98</v>
      </c>
      <c r="X48" s="123">
        <f>Reference!$W$22</f>
        <v>4.9660000000000003E-2</v>
      </c>
      <c r="Y48" s="123">
        <f t="shared" si="7"/>
        <v>6.4357834526886323E-5</v>
      </c>
      <c r="Z48" s="118">
        <f>M48*Reference!$L$7</f>
        <v>34.44</v>
      </c>
      <c r="AA48" s="118">
        <f t="shared" si="29"/>
        <v>34.44</v>
      </c>
      <c r="AB48" s="118">
        <f>Z48*Reference!$L$22/(60*10^3)</f>
        <v>1.0007392175206826</v>
      </c>
      <c r="AC48" s="118">
        <f t="shared" si="30"/>
        <v>1.0007392175206826</v>
      </c>
      <c r="AD48" s="118">
        <f>N48*Reference!$F$10+Reference!$F$11</f>
        <v>41.092399632121015</v>
      </c>
      <c r="AE48" s="118">
        <f t="shared" si="24"/>
        <v>125.86705428420569</v>
      </c>
      <c r="AF48" s="118">
        <f t="shared" si="8"/>
        <v>251.73410856841139</v>
      </c>
      <c r="AG48" s="118">
        <f t="shared" si="9"/>
        <v>0.1632373136314729</v>
      </c>
      <c r="AH48" s="224">
        <f>(AE48/100)*Reference!$L$22*(H48/1000)/(Reference!$W$22)</f>
        <v>33.672034023344487</v>
      </c>
      <c r="AI48" s="224">
        <f>(AE48/100)*Reference!$L$22*(H48/1000)/(Reference!$P$26)</f>
        <v>88.944319659536561</v>
      </c>
      <c r="AJ48" s="224">
        <f>(AE48/100)*Reference!$L$22*(H48/1000)/(Reference!$P$22)</f>
        <v>194.70953953937334</v>
      </c>
      <c r="AK48" s="224">
        <f>AH48/Reference!$R$22</f>
        <v>528.33794676684374</v>
      </c>
      <c r="AL48" s="224">
        <f>AI48/(Reference!$R$22)</f>
        <v>1395.599065768163</v>
      </c>
      <c r="AM48" s="224">
        <f>AB48/(Reference!$R$22)</f>
        <v>15.702303670380385</v>
      </c>
      <c r="AN48" s="118">
        <f t="shared" si="25"/>
        <v>34.954032186679335</v>
      </c>
      <c r="AO48" s="179">
        <f t="shared" si="10"/>
        <v>3.0579717730818616E-4</v>
      </c>
      <c r="AP48" s="123"/>
      <c r="AQ48" s="270">
        <f t="shared" si="11"/>
        <v>3.0630251679392853</v>
      </c>
      <c r="AR48" s="270">
        <f t="shared" si="12"/>
        <v>3.6238186350661559E-3</v>
      </c>
      <c r="AS48" s="270">
        <f t="shared" si="26"/>
        <v>1.2902781647682357E-3</v>
      </c>
      <c r="AT48" s="270">
        <f t="shared" si="27"/>
        <v>64.793536334376611</v>
      </c>
      <c r="AU48" s="270">
        <f t="shared" si="13"/>
        <v>3.5887152665252962</v>
      </c>
      <c r="AV48" s="270">
        <f t="shared" si="14"/>
        <v>2.4034144714484231</v>
      </c>
      <c r="AW48" s="270">
        <f t="shared" si="15"/>
        <v>1.185300795076873</v>
      </c>
      <c r="AX48" s="270">
        <f t="shared" si="28"/>
        <v>32.392739846489484</v>
      </c>
      <c r="AY48" s="270">
        <f t="shared" si="16"/>
        <v>32.400796487887128</v>
      </c>
      <c r="AZ48" s="270">
        <f t="shared" si="17"/>
        <v>0.99975134434115975</v>
      </c>
      <c r="BD48" s="178">
        <v>26.634972526249655</v>
      </c>
      <c r="BE48" s="118">
        <v>0.1632373136314729</v>
      </c>
      <c r="BF48" s="118">
        <v>0.1632373136314729</v>
      </c>
      <c r="BG48" s="118">
        <f t="shared" si="18"/>
        <v>0.32647462726294579</v>
      </c>
      <c r="BH48" s="171">
        <v>26.634972526249655</v>
      </c>
      <c r="BI48" s="118">
        <v>15.702303670380385</v>
      </c>
    </row>
    <row r="49" spans="1:66" s="118" customFormat="1">
      <c r="A49" s="201" t="s">
        <v>70</v>
      </c>
      <c r="B49" s="69">
        <v>0.44188657407407406</v>
      </c>
      <c r="C49" s="184">
        <v>0.44276620370370368</v>
      </c>
      <c r="D49" s="69">
        <v>0.44202546296296297</v>
      </c>
      <c r="E49" s="173">
        <v>83</v>
      </c>
      <c r="F49" s="173" t="s">
        <v>166</v>
      </c>
      <c r="G49" s="202" t="s">
        <v>17</v>
      </c>
      <c r="H49" s="188">
        <v>0.76200000000000001</v>
      </c>
      <c r="I49" s="170">
        <v>101325</v>
      </c>
      <c r="J49" s="218">
        <v>42.08</v>
      </c>
      <c r="K49" s="218">
        <v>42.08</v>
      </c>
      <c r="L49" s="224">
        <v>1</v>
      </c>
      <c r="M49" s="118">
        <v>69</v>
      </c>
      <c r="N49" s="118">
        <v>37</v>
      </c>
      <c r="O49" s="118">
        <v>106</v>
      </c>
      <c r="P49" s="118">
        <v>1.79</v>
      </c>
      <c r="Q49" s="118">
        <v>250</v>
      </c>
      <c r="R49" s="118">
        <v>427</v>
      </c>
      <c r="S49" s="118">
        <f>R49*Reference!$N$42+Reference!$N$43</f>
        <v>22.795757024229317</v>
      </c>
      <c r="T49" s="118">
        <v>24</v>
      </c>
      <c r="U49" s="118">
        <f>T49*-Reference!$N$42</f>
        <v>5.420068944028726</v>
      </c>
      <c r="V49" s="178">
        <f>Reference!$L$22</f>
        <v>1743.448114147531</v>
      </c>
      <c r="W49" s="6">
        <v>2331.98</v>
      </c>
      <c r="X49" s="123">
        <f>Reference!$W$22</f>
        <v>4.9660000000000003E-2</v>
      </c>
      <c r="Y49" s="123">
        <f t="shared" si="7"/>
        <v>6.4357834526886323E-5</v>
      </c>
      <c r="Z49" s="118">
        <f>M49*Reference!$L$7</f>
        <v>28.29</v>
      </c>
      <c r="AA49" s="118">
        <f t="shared" si="29"/>
        <v>28.29</v>
      </c>
      <c r="AB49" s="118">
        <f>Z49*Reference!$L$22/(60*10^3)</f>
        <v>0.8220357858205608</v>
      </c>
      <c r="AC49" s="118">
        <f t="shared" si="30"/>
        <v>0.8220357858205608</v>
      </c>
      <c r="AD49" s="118">
        <f>N49*Reference!$F$10+Reference!$F$11</f>
        <v>28.869599633504954</v>
      </c>
      <c r="AE49" s="118">
        <f t="shared" si="24"/>
        <v>103.39079459059754</v>
      </c>
      <c r="AF49" s="118">
        <f t="shared" si="8"/>
        <v>206.78158918119507</v>
      </c>
      <c r="AG49" s="118">
        <f t="shared" si="9"/>
        <v>0.1396139750536862</v>
      </c>
      <c r="AH49" s="224">
        <f>(AE49/100)*Reference!$L$22*(H49/1000)/(Reference!$W$22)</f>
        <v>27.659170804890117</v>
      </c>
      <c r="AI49" s="224">
        <f>(AE49/100)*Reference!$L$22*(H49/1000)/(Reference!$P$26)</f>
        <v>73.061405434619317</v>
      </c>
      <c r="AJ49" s="224">
        <f>(AE49/100)*Reference!$L$22*(H49/1000)/(Reference!$P$22)</f>
        <v>159.93997890734238</v>
      </c>
      <c r="AK49" s="224">
        <f>AH49/Reference!$R$22</f>
        <v>433.99188484419318</v>
      </c>
      <c r="AL49" s="224">
        <f>AI49/(Reference!$R$22)</f>
        <v>1146.384946880991</v>
      </c>
      <c r="AM49" s="224">
        <f>AB49/(Reference!$R$22)</f>
        <v>12.898320872098175</v>
      </c>
      <c r="AN49" s="118">
        <f t="shared" si="25"/>
        <v>29.915691632846872</v>
      </c>
      <c r="AO49" s="179">
        <f t="shared" si="10"/>
        <v>3.0579717730818616E-4</v>
      </c>
      <c r="AP49" s="123"/>
      <c r="AQ49" s="270">
        <f t="shared" si="11"/>
        <v>3.5813033745922174</v>
      </c>
      <c r="AR49" s="270">
        <f t="shared" si="12"/>
        <v>2.5598915389256648E-3</v>
      </c>
      <c r="AS49" s="270">
        <f t="shared" si="26"/>
        <v>1.0791395560666279E-3</v>
      </c>
      <c r="AT49" s="270">
        <f t="shared" si="27"/>
        <v>78.929472559626376</v>
      </c>
      <c r="AU49" s="270">
        <f t="shared" si="13"/>
        <v>4.7576512723989683</v>
      </c>
      <c r="AV49" s="270">
        <f t="shared" si="14"/>
        <v>3.138527213898489</v>
      </c>
      <c r="AW49" s="270">
        <f t="shared" si="15"/>
        <v>1.6191240585004794</v>
      </c>
      <c r="AX49" s="270">
        <f t="shared" si="28"/>
        <v>39.459684026754047</v>
      </c>
      <c r="AY49" s="270">
        <f t="shared" si="16"/>
        <v>39.469788532872329</v>
      </c>
      <c r="AZ49" s="270">
        <f t="shared" si="17"/>
        <v>0.99974399391296798</v>
      </c>
      <c r="BD49" s="178">
        <v>22.795757024229317</v>
      </c>
      <c r="BE49" s="118">
        <v>0.1396139750536862</v>
      </c>
      <c r="BF49" s="118">
        <v>0.1396139750536862</v>
      </c>
      <c r="BG49" s="118">
        <f t="shared" si="18"/>
        <v>0.27922795010737239</v>
      </c>
      <c r="BH49" s="171">
        <v>22.795757024229317</v>
      </c>
      <c r="BI49" s="118">
        <v>12.898320872098175</v>
      </c>
    </row>
    <row r="50" spans="1:66" s="118" customFormat="1">
      <c r="A50" s="201" t="s">
        <v>70</v>
      </c>
      <c r="B50" s="207">
        <v>0.53178240740740745</v>
      </c>
      <c r="C50" s="208">
        <v>0.53216435185185185</v>
      </c>
      <c r="D50" s="69">
        <v>0.53188657407407403</v>
      </c>
      <c r="E50" s="173" t="s">
        <v>125</v>
      </c>
      <c r="F50" s="173" t="s">
        <v>167</v>
      </c>
      <c r="G50" s="202" t="s">
        <v>17</v>
      </c>
      <c r="H50" s="188">
        <v>0.76200000000000001</v>
      </c>
      <c r="I50" s="170">
        <v>101325</v>
      </c>
      <c r="J50" s="218">
        <v>42.08</v>
      </c>
      <c r="K50" s="218">
        <v>42.08</v>
      </c>
      <c r="L50" s="224">
        <v>1</v>
      </c>
      <c r="M50" s="118">
        <v>64</v>
      </c>
      <c r="N50" s="118">
        <v>35</v>
      </c>
      <c r="O50" s="118">
        <v>106</v>
      </c>
      <c r="P50" s="118">
        <v>1.66</v>
      </c>
      <c r="Q50" s="118">
        <v>250</v>
      </c>
      <c r="R50" s="118">
        <v>432</v>
      </c>
      <c r="S50" s="118">
        <f>R50*Reference!$N$42+Reference!$N$43</f>
        <v>21.666575994223322</v>
      </c>
      <c r="T50" s="118">
        <v>23</v>
      </c>
      <c r="U50" s="118">
        <f>T50*-Reference!$N$42</f>
        <v>5.1942327380275293</v>
      </c>
      <c r="V50" s="178">
        <f>Reference!$L$22</f>
        <v>1743.448114147531</v>
      </c>
      <c r="W50" s="6">
        <v>2331.98</v>
      </c>
      <c r="X50" s="123">
        <f>Reference!$W$22</f>
        <v>4.9660000000000003E-2</v>
      </c>
      <c r="Y50" s="123">
        <f t="shared" si="7"/>
        <v>6.4357834526886323E-5</v>
      </c>
      <c r="Z50" s="118">
        <f>M50*Reference!$L$7</f>
        <v>26.24</v>
      </c>
      <c r="AA50" s="118">
        <f t="shared" si="29"/>
        <v>26.24</v>
      </c>
      <c r="AB50" s="118">
        <f>Z50*Reference!$L$22/(60*10^3)</f>
        <v>0.76246797525385346</v>
      </c>
      <c r="AC50" s="118">
        <f t="shared" si="30"/>
        <v>0.76246797525385346</v>
      </c>
      <c r="AD50" s="118">
        <f>N50*Reference!$F$10+Reference!$F$11</f>
        <v>26.989168864487098</v>
      </c>
      <c r="AE50" s="118">
        <f t="shared" si="24"/>
        <v>95.898708026061485</v>
      </c>
      <c r="AF50" s="118">
        <f t="shared" si="8"/>
        <v>191.79741605212297</v>
      </c>
      <c r="AG50" s="118">
        <f t="shared" si="9"/>
        <v>0.14071706188759345</v>
      </c>
      <c r="AH50" s="224">
        <f>(AE50/100)*Reference!$L$22*(H50/1000)/(Reference!$W$22)</f>
        <v>25.654883065405325</v>
      </c>
      <c r="AI50" s="224">
        <f>(AE50/100)*Reference!$L$22*(H50/1000)/(Reference!$P$26)</f>
        <v>67.767100692980236</v>
      </c>
      <c r="AJ50" s="224">
        <f>(AE50/100)*Reference!$L$22*(H50/1000)/(Reference!$P$22)</f>
        <v>148.35012536333207</v>
      </c>
      <c r="AK50" s="224">
        <f>AH50/Reference!$R$22</f>
        <v>402.54319753664294</v>
      </c>
      <c r="AL50" s="224">
        <f>AI50/(Reference!$R$22)</f>
        <v>1063.3135739186005</v>
      </c>
      <c r="AM50" s="224">
        <f>AB50/(Reference!$R$22)</f>
        <v>11.963659939337436</v>
      </c>
      <c r="AN50" s="118">
        <f t="shared" si="25"/>
        <v>28.433826764072602</v>
      </c>
      <c r="AO50" s="179">
        <f t="shared" si="10"/>
        <v>3.0579717730818616E-4</v>
      </c>
      <c r="AP50" s="123"/>
      <c r="AQ50" s="270">
        <f t="shared" si="11"/>
        <v>3.5532293901887053</v>
      </c>
      <c r="AR50" s="270">
        <f t="shared" si="12"/>
        <v>2.1977254070443355E-3</v>
      </c>
      <c r="AS50" s="270">
        <f t="shared" si="26"/>
        <v>1.0001283815649421E-3</v>
      </c>
      <c r="AT50" s="270">
        <f t="shared" si="27"/>
        <v>80.24713956101094</v>
      </c>
      <c r="AU50" s="270">
        <f t="shared" si="13"/>
        <v>5.1811077969201813</v>
      </c>
      <c r="AV50" s="270">
        <f t="shared" si="14"/>
        <v>3.4307731719383319</v>
      </c>
      <c r="AW50" s="270">
        <f t="shared" si="15"/>
        <v>1.7503346249818494</v>
      </c>
      <c r="AX50" s="270">
        <f t="shared" si="28"/>
        <v>40.118438357449939</v>
      </c>
      <c r="AY50" s="270">
        <f t="shared" si="16"/>
        <v>40.128701203561</v>
      </c>
      <c r="AZ50" s="270">
        <f t="shared" si="17"/>
        <v>0.99974425172499348</v>
      </c>
      <c r="BD50" s="178">
        <v>21.666575994223322</v>
      </c>
      <c r="BE50" s="118">
        <v>0.14071706188759345</v>
      </c>
      <c r="BF50" s="118">
        <v>0.14071706188759345</v>
      </c>
      <c r="BG50" s="118">
        <f t="shared" si="18"/>
        <v>0.2814341237751869</v>
      </c>
      <c r="BH50" s="171">
        <v>21.666575994223322</v>
      </c>
      <c r="BI50" s="118">
        <v>11.963659939337436</v>
      </c>
    </row>
    <row r="51" spans="1:66">
      <c r="A51" s="203">
        <v>174</v>
      </c>
      <c r="B51" s="69">
        <v>0.52361111111111114</v>
      </c>
      <c r="C51" s="184">
        <v>0.52434027777777781</v>
      </c>
      <c r="D51" s="204">
        <v>0.52407407407407403</v>
      </c>
      <c r="F51" s="173" t="s">
        <v>196</v>
      </c>
      <c r="G51" s="205" t="s">
        <v>17</v>
      </c>
      <c r="H51" s="188">
        <v>0.76200000000000001</v>
      </c>
      <c r="I51" s="170">
        <v>101325</v>
      </c>
      <c r="J51" s="218">
        <v>42.08</v>
      </c>
      <c r="K51" s="218">
        <v>42.08</v>
      </c>
      <c r="L51" s="224">
        <v>1</v>
      </c>
      <c r="M51" s="171">
        <v>62</v>
      </c>
      <c r="N51" s="171">
        <v>32</v>
      </c>
      <c r="O51" s="171">
        <v>81</v>
      </c>
      <c r="P51" s="171">
        <v>1.64</v>
      </c>
      <c r="Q51" s="171">
        <v>250</v>
      </c>
      <c r="R51" s="171">
        <v>424</v>
      </c>
      <c r="S51" s="118">
        <f>R51*Reference!$F$78+Reference!$F$79</f>
        <v>21.926652799827636</v>
      </c>
      <c r="T51" s="118">
        <v>31</v>
      </c>
      <c r="U51" s="118">
        <f>T51*-Reference!$F$78</f>
        <v>7.1298592712471702</v>
      </c>
      <c r="V51" s="178">
        <f>Reference!$L$22</f>
        <v>1743.448114147531</v>
      </c>
      <c r="W51" s="6">
        <v>2331.98</v>
      </c>
      <c r="X51" s="123">
        <f>Reference!$W$22</f>
        <v>4.9660000000000003E-2</v>
      </c>
      <c r="Y51" s="123">
        <f t="shared" si="7"/>
        <v>6.4357834526886323E-5</v>
      </c>
      <c r="Z51" s="118">
        <f>M51*Reference!$L$7</f>
        <v>25.419999999999998</v>
      </c>
      <c r="AA51" s="118">
        <f t="shared" si="29"/>
        <v>25.419999999999998</v>
      </c>
      <c r="AB51" s="118">
        <f>Z51*Reference!$L$22/(60*10^3)</f>
        <v>0.73864085102717059</v>
      </c>
      <c r="AC51" s="118">
        <f t="shared" si="30"/>
        <v>0.73864085102717059</v>
      </c>
      <c r="AD51" s="118">
        <f>N51*Reference!$F$10+Reference!$F$11</f>
        <v>24.168522710960318</v>
      </c>
      <c r="AE51" s="118">
        <f t="shared" si="24"/>
        <v>92.901873400247069</v>
      </c>
      <c r="AF51" s="118">
        <f t="shared" si="8"/>
        <v>185.80374680049414</v>
      </c>
      <c r="AG51" s="118">
        <f t="shared" si="9"/>
        <v>0.1300755400638457</v>
      </c>
      <c r="AH51" s="224">
        <f>(AE51/100)*Reference!$L$22*(H51/1000)/(Reference!$W$22)</f>
        <v>24.853167969611413</v>
      </c>
      <c r="AI51" s="224">
        <f>(AE51/100)*Reference!$L$22*(H51/1000)/(Reference!$P$26)</f>
        <v>65.649378796324612</v>
      </c>
      <c r="AJ51" s="224">
        <f>(AE51/100)*Reference!$L$22*(H51/1000)/(Reference!$P$22)</f>
        <v>143.71418394572794</v>
      </c>
      <c r="AK51" s="224">
        <f>AH51/Reference!$R$22</f>
        <v>389.96372261362291</v>
      </c>
      <c r="AL51" s="224">
        <f>AI51/(Reference!$R$22)</f>
        <v>1030.0850247336443</v>
      </c>
      <c r="AM51" s="224">
        <f>AB51/(Reference!$R$22)</f>
        <v>11.589795566233143</v>
      </c>
      <c r="AN51" s="118">
        <f t="shared" si="25"/>
        <v>28.775134907910282</v>
      </c>
      <c r="AO51" s="179">
        <f t="shared" si="10"/>
        <v>3.0579717730818616E-4</v>
      </c>
      <c r="AP51" s="123"/>
      <c r="AQ51" s="270">
        <f t="shared" si="11"/>
        <v>3.8439202309256775</v>
      </c>
      <c r="AR51" s="270">
        <f t="shared" si="12"/>
        <v>2.1042445619188191E-3</v>
      </c>
      <c r="AS51" s="270">
        <f t="shared" si="26"/>
        <v>9.7638582823068247E-4</v>
      </c>
      <c r="AT51" s="270">
        <f t="shared" si="27"/>
        <v>90.687092337854082</v>
      </c>
      <c r="AU51" s="270">
        <f t="shared" si="13"/>
        <v>5.6535204480121415</v>
      </c>
      <c r="AV51" s="270">
        <f t="shared" si="14"/>
        <v>3.7254449926404209</v>
      </c>
      <c r="AW51" s="270">
        <f t="shared" si="15"/>
        <v>1.9280754553717205</v>
      </c>
      <c r="AX51" s="270">
        <f t="shared" si="28"/>
        <v>45.337677835889394</v>
      </c>
      <c r="AY51" s="270">
        <f t="shared" si="16"/>
        <v>45.349414501964688</v>
      </c>
      <c r="AZ51" s="270">
        <f t="shared" si="17"/>
        <v>0.99974119476063394</v>
      </c>
      <c r="BA51" s="118"/>
      <c r="BB51" s="118"/>
      <c r="BD51" s="178">
        <v>21.926652799827636</v>
      </c>
      <c r="BE51" s="171">
        <v>0.1300755400638457</v>
      </c>
      <c r="BF51" s="171">
        <v>0.1300755400638457</v>
      </c>
      <c r="BG51" s="118">
        <f t="shared" si="18"/>
        <v>0.26015108012769139</v>
      </c>
      <c r="BH51" s="118">
        <v>21.926652799827636</v>
      </c>
      <c r="BI51" s="116">
        <v>11.589795566233143</v>
      </c>
    </row>
    <row r="52" spans="1:66">
      <c r="A52" s="203">
        <v>174</v>
      </c>
      <c r="B52" s="69">
        <v>0.52513888888888893</v>
      </c>
      <c r="C52" s="184">
        <v>0.52506944444444448</v>
      </c>
      <c r="D52" s="204">
        <v>0.5255671296296297</v>
      </c>
      <c r="F52" s="173" t="s">
        <v>197</v>
      </c>
      <c r="G52" s="205" t="s">
        <v>17</v>
      </c>
      <c r="H52" s="188">
        <v>0.76200000000000001</v>
      </c>
      <c r="I52" s="170">
        <v>101325</v>
      </c>
      <c r="J52" s="218">
        <v>42.08</v>
      </c>
      <c r="K52" s="218">
        <v>42.08</v>
      </c>
      <c r="L52" s="224">
        <v>1</v>
      </c>
      <c r="M52" s="171">
        <v>44</v>
      </c>
      <c r="N52" s="171">
        <v>20</v>
      </c>
      <c r="O52" s="171">
        <v>64</v>
      </c>
      <c r="P52" s="171">
        <v>1.29</v>
      </c>
      <c r="Q52" s="171">
        <v>250</v>
      </c>
      <c r="R52" s="171">
        <v>450</v>
      </c>
      <c r="S52" s="118">
        <f>R52*Reference!$F$78+Reference!$F$79</f>
        <v>15.946770830394527</v>
      </c>
      <c r="T52" s="118">
        <v>32</v>
      </c>
      <c r="U52" s="118">
        <f>T52*-Reference!$F$78</f>
        <v>7.3598547316099818</v>
      </c>
      <c r="V52" s="178">
        <f>Reference!$L$22</f>
        <v>1743.448114147531</v>
      </c>
      <c r="W52" s="6">
        <v>2331.98</v>
      </c>
      <c r="X52" s="123">
        <f>Reference!$W$22</f>
        <v>4.9660000000000003E-2</v>
      </c>
      <c r="Y52" s="123">
        <f t="shared" si="7"/>
        <v>6.4357834526886323E-5</v>
      </c>
      <c r="Z52" s="118">
        <f>M52*Reference!$L$7</f>
        <v>18.04</v>
      </c>
      <c r="AA52" s="118">
        <f t="shared" si="29"/>
        <v>18.04</v>
      </c>
      <c r="AB52" s="118">
        <f>Z52*Reference!$L$22/(60*10^3)</f>
        <v>0.52419673298702429</v>
      </c>
      <c r="AC52" s="118">
        <f t="shared" si="30"/>
        <v>0.52419673298702429</v>
      </c>
      <c r="AD52" s="118">
        <f>N52*Reference!$F$10+Reference!$F$11</f>
        <v>12.885938096853188</v>
      </c>
      <c r="AE52" s="118">
        <f t="shared" si="24"/>
        <v>65.930361767917276</v>
      </c>
      <c r="AF52" s="118">
        <f t="shared" si="8"/>
        <v>131.86072353583455</v>
      </c>
      <c r="AG52" s="118">
        <f t="shared" si="9"/>
        <v>9.7723854012914599E-2</v>
      </c>
      <c r="AH52" s="224">
        <f>(AE52/100)*Reference!$L$22*(H52/1000)/(Reference!$W$22)</f>
        <v>17.637732107466164</v>
      </c>
      <c r="AI52" s="224">
        <f>(AE52/100)*Reference!$L$22*(H52/1000)/(Reference!$P$26)</f>
        <v>46.589881726423926</v>
      </c>
      <c r="AJ52" s="224">
        <f>(AE52/100)*Reference!$L$22*(H52/1000)/(Reference!$P$22)</f>
        <v>101.99071118729081</v>
      </c>
      <c r="AK52" s="224">
        <f>AH52/Reference!$R$22</f>
        <v>276.74844830644207</v>
      </c>
      <c r="AL52" s="224">
        <f>AI52/(Reference!$R$22)</f>
        <v>731.02808206903796</v>
      </c>
      <c r="AM52" s="224">
        <f>AB52/(Reference!$R$22)</f>
        <v>8.2250162082944875</v>
      </c>
      <c r="AN52" s="118">
        <f t="shared" si="25"/>
        <v>20.927520774795966</v>
      </c>
      <c r="AO52" s="179">
        <f t="shared" si="10"/>
        <v>3.0579717730818616E-4</v>
      </c>
      <c r="AP52" s="123"/>
      <c r="AQ52" s="270">
        <f t="shared" si="11"/>
        <v>5.1164580546927976</v>
      </c>
      <c r="AR52" s="270">
        <f t="shared" si="12"/>
        <v>1.1236817210798793E-3</v>
      </c>
      <c r="AS52" s="270">
        <f t="shared" si="26"/>
        <v>7.0835285619585053E-4</v>
      </c>
      <c r="AT52" s="270">
        <f t="shared" si="27"/>
        <v>123.69424332819545</v>
      </c>
      <c r="AU52" s="270">
        <f t="shared" si="13"/>
        <v>9.0265248715872684</v>
      </c>
      <c r="AV52" s="270">
        <f t="shared" si="14"/>
        <v>5.7577380572010437</v>
      </c>
      <c r="AW52" s="270">
        <f t="shared" si="15"/>
        <v>3.2687868143862246</v>
      </c>
      <c r="AX52" s="270">
        <f t="shared" si="28"/>
        <v>61.838982591310042</v>
      </c>
      <c r="AY52" s="270">
        <f t="shared" si="16"/>
        <v>61.855260736885413</v>
      </c>
      <c r="AZ52" s="270">
        <f t="shared" si="17"/>
        <v>0.99973683490488197</v>
      </c>
      <c r="BA52" s="118"/>
      <c r="BB52" s="118"/>
      <c r="BD52" s="178">
        <v>15.946770830394527</v>
      </c>
      <c r="BE52" s="171">
        <v>9.7723854012914599E-2</v>
      </c>
      <c r="BF52" s="171">
        <v>9.7723854012914599E-2</v>
      </c>
      <c r="BG52" s="118">
        <f t="shared" si="18"/>
        <v>0.1954477080258292</v>
      </c>
      <c r="BH52" s="171">
        <v>15.946770830394527</v>
      </c>
      <c r="BI52" s="116">
        <v>8.2250162082944875</v>
      </c>
    </row>
    <row r="53" spans="1:66">
      <c r="A53" s="203">
        <v>174</v>
      </c>
      <c r="B53" s="69">
        <v>0.52989583333333334</v>
      </c>
      <c r="C53" s="184">
        <v>0.5308680555555555</v>
      </c>
      <c r="D53" s="204">
        <v>0.53068287037037043</v>
      </c>
      <c r="F53" s="173" t="s">
        <v>198</v>
      </c>
      <c r="G53" s="205" t="s">
        <v>17</v>
      </c>
      <c r="H53" s="188">
        <v>0.76200000000000001</v>
      </c>
      <c r="I53" s="170">
        <v>101325</v>
      </c>
      <c r="J53" s="218">
        <v>42.08</v>
      </c>
      <c r="K53" s="218">
        <v>42.08</v>
      </c>
      <c r="L53" s="224">
        <v>1</v>
      </c>
      <c r="M53" s="171">
        <v>111</v>
      </c>
      <c r="N53" s="171">
        <v>60</v>
      </c>
      <c r="O53" s="171">
        <v>140</v>
      </c>
      <c r="P53" s="171">
        <v>2.9</v>
      </c>
      <c r="Q53" s="171">
        <v>250</v>
      </c>
      <c r="R53" s="171">
        <v>381</v>
      </c>
      <c r="S53" s="118">
        <f>R53*Reference!$F$78+Reference!$F$79</f>
        <v>31.816457595428545</v>
      </c>
      <c r="T53" s="118">
        <v>25</v>
      </c>
      <c r="U53" s="118">
        <f>T53*-Reference!$F$78</f>
        <v>5.749886509070298</v>
      </c>
      <c r="V53" s="178">
        <f>Reference!$L$22</f>
        <v>1743.448114147531</v>
      </c>
      <c r="W53" s="6">
        <v>2331.98</v>
      </c>
      <c r="X53" s="123">
        <f>Reference!$W$22</f>
        <v>4.9660000000000003E-2</v>
      </c>
      <c r="Y53" s="123">
        <f t="shared" si="7"/>
        <v>6.4357834526886323E-5</v>
      </c>
      <c r="Z53" s="118">
        <f>M53*Reference!$L$7</f>
        <v>45.51</v>
      </c>
      <c r="AA53" s="118">
        <f t="shared" si="29"/>
        <v>45.51</v>
      </c>
      <c r="AB53" s="118">
        <f>Z53*Reference!$L$22/(60*10^3)</f>
        <v>1.3224053945809022</v>
      </c>
      <c r="AC53" s="118">
        <f t="shared" si="30"/>
        <v>1.3224053945809022</v>
      </c>
      <c r="AD53" s="118">
        <f>N53*Reference!$F$10+Reference!$F$11</f>
        <v>50.494553477210289</v>
      </c>
      <c r="AE53" s="118">
        <f t="shared" si="24"/>
        <v>166.32432173270038</v>
      </c>
      <c r="AF53" s="118">
        <f t="shared" si="8"/>
        <v>332.64864346540077</v>
      </c>
      <c r="AG53" s="118">
        <f t="shared" si="9"/>
        <v>0.15179545886968962</v>
      </c>
      <c r="AH53" s="224">
        <f>(AE53/100)*Reference!$L$22*(H53/1000)/(Reference!$W$22)</f>
        <v>44.495187816562357</v>
      </c>
      <c r="AI53" s="224">
        <f>(AE53/100)*Reference!$L$22*(H53/1000)/(Reference!$P$26)</f>
        <v>117.53356526438758</v>
      </c>
      <c r="AJ53" s="224">
        <f>(AE53/100)*Reference!$L$22*(H53/1000)/(Reference!$P$22)</f>
        <v>257.29474867702902</v>
      </c>
      <c r="AK53" s="224">
        <f>AH53/Reference!$R$22</f>
        <v>698.16085822761499</v>
      </c>
      <c r="AL53" s="224">
        <f>AI53/(Reference!$R$22)</f>
        <v>1844.1844797650722</v>
      </c>
      <c r="AM53" s="224">
        <f>AB53/(Reference!$R$22)</f>
        <v>20.749472707288369</v>
      </c>
      <c r="AN53" s="118">
        <f t="shared" si="25"/>
        <v>41.753881358830114</v>
      </c>
      <c r="AO53" s="179">
        <f t="shared" si="10"/>
        <v>3.0579717730818616E-4</v>
      </c>
      <c r="AP53" s="123"/>
      <c r="AQ53" s="270">
        <f t="shared" si="11"/>
        <v>3.2939061795598916</v>
      </c>
      <c r="AR53" s="270">
        <f t="shared" si="12"/>
        <v>6.4716334587739963E-3</v>
      </c>
      <c r="AS53" s="270">
        <f t="shared" si="26"/>
        <v>1.7202391410607054E-3</v>
      </c>
      <c r="AT53" s="270">
        <f t="shared" si="27"/>
        <v>62.984230754526862</v>
      </c>
      <c r="AU53" s="270">
        <f t="shared" si="13"/>
        <v>2.647763238614897</v>
      </c>
      <c r="AV53" s="270">
        <f t="shared" si="14"/>
        <v>1.7368857928168995</v>
      </c>
      <c r="AW53" s="270">
        <f t="shared" si="15"/>
        <v>0.91087744579799756</v>
      </c>
      <c r="AX53" s="270">
        <f t="shared" si="28"/>
        <v>31.488145426876947</v>
      </c>
      <c r="AY53" s="270">
        <f t="shared" si="16"/>
        <v>31.496085327649915</v>
      </c>
      <c r="AZ53" s="270">
        <f t="shared" si="17"/>
        <v>0.99974790832922977</v>
      </c>
      <c r="BA53" s="118"/>
      <c r="BB53" s="118"/>
      <c r="BD53" s="178">
        <v>31.816457595428545</v>
      </c>
      <c r="BE53" s="171">
        <v>0.15179545886968962</v>
      </c>
      <c r="BF53" s="171">
        <v>0.15179545886968962</v>
      </c>
      <c r="BG53" s="118">
        <f t="shared" si="18"/>
        <v>0.30359091773937924</v>
      </c>
      <c r="BH53" s="171">
        <v>31.816457595428545</v>
      </c>
      <c r="BI53" s="116">
        <v>20.749472707288369</v>
      </c>
    </row>
    <row r="54" spans="1:66">
      <c r="A54" s="203">
        <v>174</v>
      </c>
      <c r="B54" s="69">
        <v>0.53214120370370377</v>
      </c>
      <c r="C54" s="184">
        <v>0.53344907407407405</v>
      </c>
      <c r="D54" s="204">
        <v>0.53306712962962965</v>
      </c>
      <c r="F54" s="173" t="s">
        <v>199</v>
      </c>
      <c r="G54" s="205" t="s">
        <v>17</v>
      </c>
      <c r="H54" s="188">
        <v>0.76200000000000001</v>
      </c>
      <c r="I54" s="170">
        <v>101325</v>
      </c>
      <c r="J54" s="218">
        <v>42.08</v>
      </c>
      <c r="K54" s="218">
        <v>42.08</v>
      </c>
      <c r="L54" s="224">
        <v>1</v>
      </c>
      <c r="M54" s="171">
        <v>80</v>
      </c>
      <c r="N54" s="171">
        <v>40</v>
      </c>
      <c r="O54" s="171">
        <v>102</v>
      </c>
      <c r="P54" s="171">
        <v>2.23</v>
      </c>
      <c r="Q54" s="171">
        <v>250</v>
      </c>
      <c r="R54" s="171">
        <v>405</v>
      </c>
      <c r="S54" s="118">
        <f>R54*Reference!$F$78+Reference!$F$79</f>
        <v>26.296566546721067</v>
      </c>
      <c r="T54" s="118">
        <v>27</v>
      </c>
      <c r="U54" s="118">
        <f>T54*-Reference!$F$78</f>
        <v>6.2098774297959221</v>
      </c>
      <c r="V54" s="178">
        <f>Reference!$L$22</f>
        <v>1743.448114147531</v>
      </c>
      <c r="W54" s="6">
        <v>2331.98</v>
      </c>
      <c r="X54" s="123">
        <f>Reference!$W$22</f>
        <v>4.9660000000000003E-2</v>
      </c>
      <c r="Y54" s="123">
        <f t="shared" si="7"/>
        <v>6.4357834526886323E-5</v>
      </c>
      <c r="Z54" s="118">
        <f>M54*Reference!$L$7</f>
        <v>32.799999999999997</v>
      </c>
      <c r="AA54" s="118">
        <f t="shared" si="29"/>
        <v>32.799999999999997</v>
      </c>
      <c r="AB54" s="118">
        <f>Z54*Reference!$L$22/(60*10^3)</f>
        <v>0.95308496906731688</v>
      </c>
      <c r="AC54" s="118">
        <f t="shared" si="30"/>
        <v>0.95308496906731688</v>
      </c>
      <c r="AD54" s="118">
        <f>N54*Reference!$F$10+Reference!$F$11</f>
        <v>31.690245787031742</v>
      </c>
      <c r="AE54" s="118">
        <f t="shared" si="24"/>
        <v>119.87338503257685</v>
      </c>
      <c r="AF54" s="118">
        <f t="shared" si="8"/>
        <v>239.7467700651537</v>
      </c>
      <c r="AG54" s="118">
        <f t="shared" si="9"/>
        <v>0.13218215944439871</v>
      </c>
      <c r="AH54" s="224">
        <f>(AE54/100)*Reference!$L$22*(H54/1000)/(Reference!$W$22)</f>
        <v>32.068603831756654</v>
      </c>
      <c r="AI54" s="224">
        <f>(AE54/100)*Reference!$L$22*(H54/1000)/(Reference!$P$26)</f>
        <v>84.708875866225284</v>
      </c>
      <c r="AJ54" s="224">
        <f>(AE54/100)*Reference!$L$22*(H54/1000)/(Reference!$P$22)</f>
        <v>185.43765670416505</v>
      </c>
      <c r="AK54" s="224">
        <f>AH54/Reference!$R$22</f>
        <v>503.17899692080363</v>
      </c>
      <c r="AL54" s="224">
        <f>AI54/(Reference!$R$22)</f>
        <v>1329.1419673982502</v>
      </c>
      <c r="AM54" s="224">
        <f>AB54/(Reference!$R$22)</f>
        <v>14.954574924171796</v>
      </c>
      <c r="AN54" s="118">
        <f t="shared" si="25"/>
        <v>34.509929851339983</v>
      </c>
      <c r="AO54" s="179">
        <f t="shared" si="10"/>
        <v>3.0579717730818616E-4</v>
      </c>
      <c r="AP54" s="123"/>
      <c r="AQ54" s="270">
        <f t="shared" si="11"/>
        <v>3.7826587347464291</v>
      </c>
      <c r="AR54" s="270">
        <f t="shared" si="12"/>
        <v>3.4896706669957623E-3</v>
      </c>
      <c r="AS54" s="270">
        <f t="shared" si="26"/>
        <v>1.2579528612850317E-3</v>
      </c>
      <c r="AT54" s="270">
        <f t="shared" si="27"/>
        <v>82.94546395730508</v>
      </c>
      <c r="AU54" s="270">
        <f t="shared" si="13"/>
        <v>4.181922594502411</v>
      </c>
      <c r="AV54" s="270">
        <f t="shared" si="14"/>
        <v>2.738275142544798</v>
      </c>
      <c r="AW54" s="270">
        <f t="shared" si="15"/>
        <v>1.443647451957613</v>
      </c>
      <c r="AX54" s="270">
        <f t="shared" si="28"/>
        <v>41.467385904295526</v>
      </c>
      <c r="AY54" s="270">
        <f t="shared" si="16"/>
        <v>41.478078053009554</v>
      </c>
      <c r="AZ54" s="270">
        <f t="shared" si="17"/>
        <v>0.99974222169358085</v>
      </c>
      <c r="BA54" s="118"/>
      <c r="BB54" s="118"/>
      <c r="BD54" s="178">
        <v>26.296566546721067</v>
      </c>
      <c r="BE54" s="171">
        <v>0.13218215944439871</v>
      </c>
      <c r="BF54" s="171">
        <v>0.13218215944439871</v>
      </c>
      <c r="BG54" s="118">
        <f t="shared" si="18"/>
        <v>0.26436431888879741</v>
      </c>
      <c r="BH54" s="171">
        <v>26.296566546721067</v>
      </c>
      <c r="BI54" s="116">
        <v>14.954574924171796</v>
      </c>
    </row>
    <row r="55" spans="1:66" s="118" customFormat="1">
      <c r="A55" s="201" t="s">
        <v>70</v>
      </c>
      <c r="B55" s="69">
        <v>0.42594907407407406</v>
      </c>
      <c r="C55" s="184">
        <v>0.42678240740740742</v>
      </c>
      <c r="D55" s="69">
        <v>0.4261226851851852</v>
      </c>
      <c r="E55" s="173">
        <v>79</v>
      </c>
      <c r="F55" s="173" t="s">
        <v>200</v>
      </c>
      <c r="G55" s="202" t="s">
        <v>17</v>
      </c>
      <c r="H55" s="188">
        <v>0.76200000000000001</v>
      </c>
      <c r="I55" s="170">
        <v>101325</v>
      </c>
      <c r="J55" s="218">
        <v>42.08</v>
      </c>
      <c r="K55" s="218">
        <v>42.08</v>
      </c>
      <c r="L55" s="224">
        <v>1</v>
      </c>
      <c r="M55" s="118">
        <v>41</v>
      </c>
      <c r="N55" s="118">
        <v>14</v>
      </c>
      <c r="O55" s="118">
        <v>56</v>
      </c>
      <c r="P55" s="118">
        <v>1.08</v>
      </c>
      <c r="Q55" s="118">
        <v>250</v>
      </c>
      <c r="R55" s="118">
        <v>465</v>
      </c>
      <c r="S55" s="118">
        <f>R55*Reference!$N$42+Reference!$N$43</f>
        <v>14.213981196183823</v>
      </c>
      <c r="T55" s="118">
        <v>30</v>
      </c>
      <c r="U55" s="118">
        <f>T55*-Reference!$N$42</f>
        <v>6.7750861800359079</v>
      </c>
      <c r="V55" s="178">
        <f>Reference!$L$22</f>
        <v>1743.448114147531</v>
      </c>
      <c r="W55" s="6">
        <v>2331.98</v>
      </c>
      <c r="X55" s="123">
        <f>Reference!$W$22</f>
        <v>4.9660000000000003E-2</v>
      </c>
      <c r="Y55" s="123">
        <f t="shared" si="7"/>
        <v>6.4357834526886323E-5</v>
      </c>
      <c r="Z55" s="118">
        <f>M55*Reference!$L$7</f>
        <v>16.809999999999999</v>
      </c>
      <c r="AA55" s="118">
        <f t="shared" si="29"/>
        <v>16.809999999999999</v>
      </c>
      <c r="AB55" s="118">
        <f>Z55*Reference!$L$22/(60*10^3)</f>
        <v>0.48845604664699993</v>
      </c>
      <c r="AC55" s="118">
        <f t="shared" si="30"/>
        <v>0.48845604664699993</v>
      </c>
      <c r="AD55" s="118">
        <f>N55*Reference!$F$10+Reference!$F$11</f>
        <v>7.2446457897996197</v>
      </c>
      <c r="AE55" s="118">
        <f t="shared" si="24"/>
        <v>61.435109829195639</v>
      </c>
      <c r="AF55" s="118">
        <f t="shared" si="8"/>
        <v>122.87021965839128</v>
      </c>
      <c r="AG55" s="118">
        <f t="shared" si="9"/>
        <v>5.8961771289588925E-2</v>
      </c>
      <c r="AH55" s="224">
        <f>(AE55/100)*Reference!$L$22*(H55/1000)/(Reference!$W$22)</f>
        <v>16.435159463775285</v>
      </c>
      <c r="AI55" s="224">
        <f>(AE55/100)*Reference!$L$22*(H55/1000)/(Reference!$P$26)</f>
        <v>43.413298881440461</v>
      </c>
      <c r="AJ55" s="224">
        <f>(AE55/100)*Reference!$L$22*(H55/1000)/(Reference!$P$22)</f>
        <v>95.036799060884604</v>
      </c>
      <c r="AK55" s="224">
        <f>AH55/Reference!$R$22</f>
        <v>257.87923592191186</v>
      </c>
      <c r="AL55" s="224">
        <f>AI55/(Reference!$R$22)</f>
        <v>681.1852582916033</v>
      </c>
      <c r="AM55" s="224">
        <f>AB55/(Reference!$R$22)</f>
        <v>7.6642196486380465</v>
      </c>
      <c r="AN55" s="118">
        <f t="shared" si="25"/>
        <v>18.653518630162498</v>
      </c>
      <c r="AO55" s="179">
        <f t="shared" si="10"/>
        <v>3.0579717730818616E-4</v>
      </c>
      <c r="AP55" s="123"/>
      <c r="AQ55" s="270">
        <f t="shared" si="11"/>
        <v>8.4800708843068051</v>
      </c>
      <c r="AR55" s="270">
        <f t="shared" si="12"/>
        <v>1.0421489519700756E-3</v>
      </c>
      <c r="AS55" s="270">
        <f t="shared" si="26"/>
        <v>6.7598515434471056E-4</v>
      </c>
      <c r="AT55" s="270">
        <f t="shared" si="27"/>
        <v>196.07972127870627</v>
      </c>
      <c r="AU55" s="270">
        <f t="shared" si="13"/>
        <v>11.130749142597352</v>
      </c>
      <c r="AV55" s="270">
        <f t="shared" si="14"/>
        <v>6.658188708822415</v>
      </c>
      <c r="AW55" s="270">
        <f t="shared" si="15"/>
        <v>4.4725604337749374</v>
      </c>
      <c r="AX55" s="270">
        <f t="shared" si="28"/>
        <v>98.028070465535507</v>
      </c>
      <c r="AY55" s="270">
        <f t="shared" si="16"/>
        <v>98.051650813170767</v>
      </c>
      <c r="AZ55" s="270">
        <f t="shared" si="17"/>
        <v>0.99975951095734028</v>
      </c>
      <c r="BD55" s="178">
        <v>14.213981196183823</v>
      </c>
      <c r="BE55" s="118">
        <v>5.8961771289588925E-2</v>
      </c>
      <c r="BG55" s="118">
        <f>MIN(BG5:BG54)</f>
        <v>0.1954477080258292</v>
      </c>
    </row>
    <row r="56" spans="1:66" s="118" customFormat="1">
      <c r="A56" s="201" t="s">
        <v>70</v>
      </c>
      <c r="B56" s="69">
        <v>0.48055555555555557</v>
      </c>
      <c r="C56" s="184">
        <v>0.48140046296296296</v>
      </c>
      <c r="D56" s="69">
        <v>0.48071759259259261</v>
      </c>
      <c r="E56" s="173">
        <v>89</v>
      </c>
      <c r="F56" s="173" t="s">
        <v>201</v>
      </c>
      <c r="G56" s="202" t="s">
        <v>17</v>
      </c>
      <c r="H56" s="209">
        <v>0.40639999999999998</v>
      </c>
      <c r="I56" s="170">
        <v>101325</v>
      </c>
      <c r="J56" s="218">
        <v>42.08</v>
      </c>
      <c r="K56" s="218">
        <v>42.08</v>
      </c>
      <c r="L56" s="224">
        <v>1</v>
      </c>
      <c r="M56" s="118">
        <v>136</v>
      </c>
      <c r="N56" s="118">
        <v>35</v>
      </c>
      <c r="O56" s="118">
        <v>106</v>
      </c>
      <c r="P56" s="118">
        <v>4.0999999999999996</v>
      </c>
      <c r="Q56" s="118">
        <v>250</v>
      </c>
      <c r="R56" s="118">
        <v>292</v>
      </c>
      <c r="S56" s="118">
        <f>R56*Reference!$N$42+Reference!$N$43</f>
        <v>53.283644834390898</v>
      </c>
      <c r="T56" s="118">
        <v>22</v>
      </c>
      <c r="U56" s="118">
        <f>T56*-Reference!$N$42</f>
        <v>4.9683965320263326</v>
      </c>
      <c r="V56" s="178">
        <f>Reference!$L$22</f>
        <v>1743.448114147531</v>
      </c>
      <c r="W56" s="6">
        <v>2331.98</v>
      </c>
      <c r="X56" s="123">
        <f>Reference!$W$22</f>
        <v>4.9660000000000003E-2</v>
      </c>
      <c r="Y56" s="123">
        <f t="shared" si="7"/>
        <v>6.4357834526886323E-5</v>
      </c>
      <c r="Z56" s="118">
        <f>M56*Reference!$L$7</f>
        <v>55.76</v>
      </c>
      <c r="AA56" s="118">
        <f t="shared" si="29"/>
        <v>55.76</v>
      </c>
      <c r="AB56" s="118">
        <f>Z56*Reference!$L$22/(60*10^3)</f>
        <v>1.6202444474144388</v>
      </c>
      <c r="AC56" s="118">
        <f t="shared" si="30"/>
        <v>1.6202444474144388</v>
      </c>
      <c r="AD56" s="118">
        <f>N56*Reference!$F$10+Reference!$F$11</f>
        <v>26.989168864487098</v>
      </c>
      <c r="AE56" s="118">
        <f t="shared" si="24"/>
        <v>716.43077773376035</v>
      </c>
      <c r="AF56" s="118">
        <f t="shared" si="8"/>
        <v>1432.8615554675207</v>
      </c>
      <c r="AG56" s="118">
        <f t="shared" si="9"/>
        <v>1.8835852467045184E-2</v>
      </c>
      <c r="AH56" s="224">
        <f>(AE56/100)*Reference!$L$22*(H56/1000)/(Reference!$W$22)</f>
        <v>102.21867471372437</v>
      </c>
      <c r="AI56" s="224">
        <f>(AE56/100)*Reference!$L$22*(H56/1000)/(Reference!$P$26)</f>
        <v>270.00954182359322</v>
      </c>
      <c r="AJ56" s="224">
        <f>(AE56/100)*Reference!$L$22*(H56/1000)/(Reference!$P$22)</f>
        <v>591.08253074452637</v>
      </c>
      <c r="AK56" s="224">
        <f>AH56/Reference!$R$22</f>
        <v>1603.883052685062</v>
      </c>
      <c r="AL56" s="224">
        <f>AI56/(Reference!$R$22)</f>
        <v>4236.6400210819247</v>
      </c>
      <c r="AM56" s="224">
        <f>AB56/(Reference!$R$22)</f>
        <v>25.422777371092057</v>
      </c>
      <c r="AN56" s="118">
        <f t="shared" si="25"/>
        <v>131.11133079328471</v>
      </c>
      <c r="AO56" s="179">
        <f t="shared" si="10"/>
        <v>3.0579717730818616E-4</v>
      </c>
      <c r="AP56" s="123"/>
      <c r="AQ56" s="270">
        <f t="shared" si="11"/>
        <v>26.545121909124614</v>
      </c>
      <c r="AR56" s="270">
        <f t="shared" si="12"/>
        <v>4.2974547272620782E-2</v>
      </c>
      <c r="AS56" s="270">
        <f t="shared" si="26"/>
        <v>2.2925914728536738E-3</v>
      </c>
      <c r="AT56" s="270">
        <f t="shared" si="27"/>
        <v>197.2653672800738</v>
      </c>
      <c r="AU56" s="270">
        <f t="shared" si="13"/>
        <v>1.3453466690725142</v>
      </c>
      <c r="AV56" s="270">
        <f t="shared" si="14"/>
        <v>0.73340238800138879</v>
      </c>
      <c r="AW56" s="270">
        <f t="shared" si="15"/>
        <v>0.61194428107112542</v>
      </c>
      <c r="AX56" s="270">
        <f t="shared" si="28"/>
        <v>98.62543127634224</v>
      </c>
      <c r="AY56" s="270">
        <f t="shared" si="16"/>
        <v>98.639936003731563</v>
      </c>
      <c r="AZ56" s="270">
        <f t="shared" si="17"/>
        <v>0.99985295278994535</v>
      </c>
      <c r="BD56" s="178">
        <v>53.283644834390898</v>
      </c>
      <c r="BE56" s="118">
        <v>1.8835852467045184E-2</v>
      </c>
    </row>
    <row r="57" spans="1:66" s="118" customFormat="1">
      <c r="A57" s="201" t="s">
        <v>70</v>
      </c>
      <c r="B57" s="69">
        <v>0.4762615740740741</v>
      </c>
      <c r="C57" s="184">
        <v>0.47706018518518517</v>
      </c>
      <c r="D57" s="69">
        <v>0.47670138888888891</v>
      </c>
      <c r="E57" s="173">
        <v>87</v>
      </c>
      <c r="F57" s="173" t="s">
        <v>202</v>
      </c>
      <c r="G57" s="202" t="s">
        <v>17</v>
      </c>
      <c r="H57" s="209">
        <v>0.40639999999999998</v>
      </c>
      <c r="I57" s="170">
        <v>101325</v>
      </c>
      <c r="J57" s="218">
        <v>42.08</v>
      </c>
      <c r="K57" s="218">
        <v>42.08</v>
      </c>
      <c r="L57" s="224">
        <v>1</v>
      </c>
      <c r="M57" s="118">
        <v>113</v>
      </c>
      <c r="N57" s="118">
        <v>22</v>
      </c>
      <c r="O57" s="118">
        <v>81</v>
      </c>
      <c r="P57" s="118">
        <v>3.56</v>
      </c>
      <c r="Q57" s="118">
        <v>250</v>
      </c>
      <c r="R57" s="118">
        <v>320</v>
      </c>
      <c r="S57" s="118">
        <f>R57*Reference!$N$42+Reference!$N$43</f>
        <v>46.96023106635738</v>
      </c>
      <c r="T57" s="118">
        <v>22</v>
      </c>
      <c r="U57" s="118">
        <f>T57*-Reference!$N$42</f>
        <v>4.9683965320263326</v>
      </c>
      <c r="V57" s="178">
        <f>Reference!$L$22</f>
        <v>1743.448114147531</v>
      </c>
      <c r="W57" s="6">
        <v>2331.98</v>
      </c>
      <c r="X57" s="123">
        <f>Reference!$W$22</f>
        <v>4.9660000000000003E-2</v>
      </c>
      <c r="Y57" s="123">
        <f t="shared" si="7"/>
        <v>6.4357834526886323E-5</v>
      </c>
      <c r="Z57" s="118">
        <f>M57*Reference!$L$7</f>
        <v>46.33</v>
      </c>
      <c r="AA57" s="118">
        <f t="shared" si="29"/>
        <v>46.33</v>
      </c>
      <c r="AB57" s="118">
        <f>Z57*Reference!$L$22/(60*10^3)</f>
        <v>1.3462325188075852</v>
      </c>
      <c r="AC57" s="118">
        <f t="shared" si="30"/>
        <v>1.3462325188075852</v>
      </c>
      <c r="AD57" s="118">
        <f>N57*Reference!$F$10+Reference!$F$11</f>
        <v>14.766368865871041</v>
      </c>
      <c r="AE57" s="118">
        <f t="shared" si="24"/>
        <v>595.26969032290378</v>
      </c>
      <c r="AF57" s="118">
        <f t="shared" si="8"/>
        <v>1190.5393806458076</v>
      </c>
      <c r="AG57" s="118">
        <f t="shared" si="9"/>
        <v>1.2403091494429214E-2</v>
      </c>
      <c r="AH57" s="224">
        <f>(AE57/100)*Reference!$L$22*(H57/1000)/(Reference!$W$22)</f>
        <v>84.931692960668016</v>
      </c>
      <c r="AI57" s="224">
        <f>(AE57/100)*Reference!$L$22*(H57/1000)/(Reference!$P$26)</f>
        <v>224.34616342695608</v>
      </c>
      <c r="AJ57" s="224">
        <f>(AE57/100)*Reference!$L$22*(H57/1000)/(Reference!$P$22)</f>
        <v>491.12004392743722</v>
      </c>
      <c r="AK57" s="224">
        <f>AH57/Reference!$R$22</f>
        <v>1332.6381246574408</v>
      </c>
      <c r="AL57" s="224">
        <f>AI57/(Reference!$R$22)</f>
        <v>3520.1494292813045</v>
      </c>
      <c r="AM57" s="224">
        <f>AB57/(Reference!$R$22)</f>
        <v>21.123337080392663</v>
      </c>
      <c r="AN57" s="118">
        <f t="shared" si="25"/>
        <v>115.55174967115498</v>
      </c>
      <c r="AO57" s="179">
        <f t="shared" si="10"/>
        <v>3.0579717730818616E-4</v>
      </c>
      <c r="AP57" s="123"/>
      <c r="AQ57" s="270">
        <f t="shared" si="11"/>
        <v>40.312530164320115</v>
      </c>
      <c r="AR57" s="270">
        <f t="shared" si="12"/>
        <v>2.9962739703355133E-2</v>
      </c>
      <c r="AS57" s="270">
        <f t="shared" si="26"/>
        <v>1.9112579173336502E-3</v>
      </c>
      <c r="AT57" s="270">
        <f t="shared" si="27"/>
        <v>317.74736924839891</v>
      </c>
      <c r="AU57" s="270">
        <f t="shared" si="13"/>
        <v>1.8014579413546481</v>
      </c>
      <c r="AV57" s="270">
        <f t="shared" si="14"/>
        <v>0.96045390030546884</v>
      </c>
      <c r="AW57" s="270">
        <f t="shared" si="15"/>
        <v>0.84100404104917925</v>
      </c>
      <c r="AX57" s="270">
        <f t="shared" si="28"/>
        <v>158.86459544389808</v>
      </c>
      <c r="AY57" s="270">
        <f t="shared" si="16"/>
        <v>158.88277380450083</v>
      </c>
      <c r="AZ57" s="270">
        <f t="shared" si="17"/>
        <v>0.99988558633407854</v>
      </c>
      <c r="BD57" s="178">
        <v>46.96023106635738</v>
      </c>
      <c r="BE57" s="118">
        <v>1.2403091494429214E-2</v>
      </c>
    </row>
    <row r="58" spans="1:66">
      <c r="A58" s="203">
        <v>174</v>
      </c>
      <c r="B58" s="69">
        <v>0.49034722222222221</v>
      </c>
      <c r="C58" s="69">
        <v>0.49184027777777778</v>
      </c>
      <c r="D58" s="204">
        <v>0.49168981481481483</v>
      </c>
      <c r="F58" s="173" t="s">
        <v>203</v>
      </c>
      <c r="G58" s="205" t="s">
        <v>17</v>
      </c>
      <c r="H58" s="209">
        <v>0.40639999999999998</v>
      </c>
      <c r="I58" s="170">
        <v>101325</v>
      </c>
      <c r="J58" s="218">
        <v>42.08</v>
      </c>
      <c r="K58" s="218">
        <v>42.08</v>
      </c>
      <c r="L58" s="224">
        <v>1</v>
      </c>
      <c r="M58" s="171">
        <v>145</v>
      </c>
      <c r="N58" s="171">
        <v>17</v>
      </c>
      <c r="O58" s="171">
        <v>55</v>
      </c>
      <c r="P58" s="171">
        <v>4.0999999999999996</v>
      </c>
      <c r="Q58" s="171">
        <v>250</v>
      </c>
      <c r="R58" s="171">
        <v>262</v>
      </c>
      <c r="S58" s="118">
        <f>R58*Reference!$F$78+Reference!$F$79</f>
        <v>59.185917378603172</v>
      </c>
      <c r="T58" s="118">
        <v>25</v>
      </c>
      <c r="U58" s="118">
        <f>T58*-Reference!$F$78</f>
        <v>5.749886509070298</v>
      </c>
      <c r="V58" s="178">
        <f>Reference!$L$22</f>
        <v>1743.448114147531</v>
      </c>
      <c r="W58" s="6">
        <v>2331.98</v>
      </c>
      <c r="X58" s="123">
        <f>Reference!$W$22</f>
        <v>4.9660000000000003E-2</v>
      </c>
      <c r="Y58" s="123">
        <f t="shared" si="7"/>
        <v>6.4357834526886323E-5</v>
      </c>
      <c r="Z58" s="118">
        <f>M58*Reference!$L$7</f>
        <v>59.449999999999996</v>
      </c>
      <c r="AA58" s="118">
        <f t="shared" si="29"/>
        <v>59.449999999999996</v>
      </c>
      <c r="AB58" s="118">
        <f>Z58*Reference!$L$22/(60*10^3)</f>
        <v>1.7274665064345118</v>
      </c>
      <c r="AC58" s="118">
        <f t="shared" si="30"/>
        <v>1.7274665064345118</v>
      </c>
      <c r="AD58" s="118">
        <f>N58*Reference!$F$10+Reference!$F$11</f>
        <v>10.065291943326404</v>
      </c>
      <c r="AE58" s="118">
        <f t="shared" si="24"/>
        <v>763.84163802496505</v>
      </c>
      <c r="AF58" s="118">
        <f t="shared" si="8"/>
        <v>1527.6832760499301</v>
      </c>
      <c r="AG58" s="118">
        <f t="shared" si="9"/>
        <v>6.58859863240228E-3</v>
      </c>
      <c r="AH58" s="224">
        <f>(AE58/100)*Reference!$L$22*(H58/1000)/(Reference!$W$22)</f>
        <v>108.98314583448553</v>
      </c>
      <c r="AI58" s="224">
        <f>(AE58/100)*Reference!$L$22*(H58/1000)/(Reference!$P$26)</f>
        <v>287.87782032662506</v>
      </c>
      <c r="AJ58" s="224">
        <f>(AE58/100)*Reference!$L$22*(H58/1000)/(Reference!$P$22)</f>
        <v>630.19828645556117</v>
      </c>
      <c r="AK58" s="224">
        <f>AH58/Reference!$R$22</f>
        <v>1710.022372348044</v>
      </c>
      <c r="AL58" s="224">
        <f>AI58/(Reference!$R$22)</f>
        <v>4517.0059048299927</v>
      </c>
      <c r="AM58" s="224">
        <f>AB58/(Reference!$R$22)</f>
        <v>27.105167050061382</v>
      </c>
      <c r="AN58" s="118">
        <f t="shared" si="25"/>
        <v>145.63463921900387</v>
      </c>
      <c r="AO58" s="179">
        <f t="shared" si="10"/>
        <v>3.0579717730818616E-4</v>
      </c>
      <c r="AP58" s="123"/>
      <c r="AQ58" s="270">
        <f t="shared" si="11"/>
        <v>75.88867191591153</v>
      </c>
      <c r="AR58" s="270">
        <f t="shared" si="12"/>
        <v>4.9774075180382113E-2</v>
      </c>
      <c r="AS58" s="270">
        <f t="shared" si="26"/>
        <v>2.4598124677115271E-3</v>
      </c>
      <c r="AT58" s="270">
        <f t="shared" si="27"/>
        <v>587.47765729784101</v>
      </c>
      <c r="AU58" s="270">
        <f t="shared" si="13"/>
        <v>1.461967756322635</v>
      </c>
      <c r="AV58" s="270">
        <f t="shared" si="14"/>
        <v>0.75785096214203829</v>
      </c>
      <c r="AW58" s="270">
        <f t="shared" si="15"/>
        <v>0.70411679418059669</v>
      </c>
      <c r="AX58" s="270">
        <f t="shared" si="28"/>
        <v>293.72886407760853</v>
      </c>
      <c r="AY58" s="270">
        <f t="shared" si="16"/>
        <v>293.74879322023247</v>
      </c>
      <c r="AZ58" s="270">
        <f t="shared" si="17"/>
        <v>0.99993215583149986</v>
      </c>
      <c r="BA58" s="118"/>
      <c r="BB58" s="118"/>
      <c r="BD58" s="178">
        <v>59.185917378603172</v>
      </c>
      <c r="BE58" s="171">
        <v>6.58859863240228E-3</v>
      </c>
      <c r="BF58" s="171"/>
      <c r="BG58" s="171"/>
      <c r="BH58" s="171"/>
    </row>
    <row r="59" spans="1:66" s="118" customFormat="1">
      <c r="A59" s="246" t="s">
        <v>70</v>
      </c>
      <c r="B59" s="247">
        <v>0.47439814814814812</v>
      </c>
      <c r="C59" s="248">
        <v>0.47515046296296298</v>
      </c>
      <c r="D59" s="247">
        <v>0.47471064814814817</v>
      </c>
      <c r="E59" s="228">
        <v>85</v>
      </c>
      <c r="F59" s="228" t="s">
        <v>204</v>
      </c>
      <c r="G59" s="249" t="s">
        <v>17</v>
      </c>
      <c r="H59" s="250">
        <v>0.40639999999999998</v>
      </c>
      <c r="I59" s="251">
        <v>101325</v>
      </c>
      <c r="J59" s="258">
        <v>42.08</v>
      </c>
      <c r="K59" s="258">
        <v>42.08</v>
      </c>
      <c r="L59" s="259">
        <v>1</v>
      </c>
      <c r="M59" s="252">
        <v>92</v>
      </c>
      <c r="N59" s="252">
        <v>12</v>
      </c>
      <c r="O59" s="252">
        <v>55</v>
      </c>
      <c r="P59" s="252">
        <v>3.5</v>
      </c>
      <c r="Q59" s="252">
        <v>250</v>
      </c>
      <c r="R59" s="252">
        <v>361</v>
      </c>
      <c r="S59" s="252">
        <f>R59*Reference!$N$42+Reference!$N$43</f>
        <v>37.700946620308301</v>
      </c>
      <c r="T59" s="252">
        <v>22</v>
      </c>
      <c r="U59" s="252">
        <f>T59*-Reference!$N$42</f>
        <v>4.9683965320263326</v>
      </c>
      <c r="V59" s="253">
        <f>Reference!$L$22</f>
        <v>1743.448114147531</v>
      </c>
      <c r="W59" s="6">
        <v>2331.98</v>
      </c>
      <c r="X59" s="254">
        <f>Reference!$W$22</f>
        <v>4.9660000000000003E-2</v>
      </c>
      <c r="Y59" s="254">
        <f t="shared" si="7"/>
        <v>6.4357834526886323E-5</v>
      </c>
      <c r="Z59" s="252">
        <f>M59*Reference!$L$7</f>
        <v>37.72</v>
      </c>
      <c r="AA59" s="252">
        <f t="shared" si="29"/>
        <v>37.72</v>
      </c>
      <c r="AB59" s="252">
        <f>Z59*Reference!$L$22/(60*10^3)</f>
        <v>1.0960477144274146</v>
      </c>
      <c r="AC59" s="252">
        <f t="shared" si="30"/>
        <v>1.0960477144274146</v>
      </c>
      <c r="AD59" s="252">
        <f>N59*Reference!$F$10+Reference!$F$11</f>
        <v>5.3642150207817654</v>
      </c>
      <c r="AE59" s="252">
        <f t="shared" si="24"/>
        <v>484.64434964342615</v>
      </c>
      <c r="AF59" s="252">
        <f t="shared" si="8"/>
        <v>969.28869928685231</v>
      </c>
      <c r="AG59" s="252">
        <f t="shared" si="9"/>
        <v>5.5341767883278232E-3</v>
      </c>
      <c r="AH59" s="259">
        <f>(AE59/100)*Reference!$L$22*(H59/1000)/(Reference!$W$22)</f>
        <v>69.14792701222531</v>
      </c>
      <c r="AI59" s="259">
        <f>(AE59/100)*Reference!$L$22*(H59/1000)/(Reference!$P$26)</f>
        <v>182.65351358654834</v>
      </c>
      <c r="AJ59" s="259">
        <f>(AE59/100)*Reference!$L$22*(H59/1000)/(Reference!$P$22)</f>
        <v>399.84994726835606</v>
      </c>
      <c r="AK59" s="259">
        <f>AH59/Reference!$R$22</f>
        <v>1084.9797121104832</v>
      </c>
      <c r="AL59" s="259">
        <f>AI59/(Reference!$R$22)</f>
        <v>2865.9623672024782</v>
      </c>
      <c r="AM59" s="259">
        <f>AB59/(Reference!$R$22)</f>
        <v>17.197761162797569</v>
      </c>
      <c r="AN59" s="252">
        <f t="shared" si="25"/>
        <v>92.768077313750737</v>
      </c>
      <c r="AO59" s="255">
        <f t="shared" si="10"/>
        <v>3.0579717730818616E-4</v>
      </c>
      <c r="AP59" s="123"/>
      <c r="AQ59" s="270">
        <f t="shared" si="11"/>
        <v>90.34767394033274</v>
      </c>
      <c r="AR59" s="270">
        <f t="shared" si="12"/>
        <v>2.0069476613535434E-2</v>
      </c>
      <c r="AS59" s="270">
        <f t="shared" si="26"/>
        <v>1.5615442605560754E-3</v>
      </c>
      <c r="AT59" s="270">
        <f t="shared" si="27"/>
        <v>702.16715790071282</v>
      </c>
      <c r="AU59" s="270">
        <f t="shared" si="13"/>
        <v>2.3379095116751865</v>
      </c>
      <c r="AV59" s="270">
        <f t="shared" si="14"/>
        <v>1.205580561587781</v>
      </c>
      <c r="AW59" s="270">
        <f t="shared" si="15"/>
        <v>1.1323289500874054</v>
      </c>
      <c r="AX59" s="270">
        <f t="shared" si="28"/>
        <v>351.07330166725291</v>
      </c>
      <c r="AY59" s="270">
        <f t="shared" si="16"/>
        <v>351.09385623345992</v>
      </c>
      <c r="AZ59" s="270">
        <f t="shared" si="17"/>
        <v>0.9999414556368843</v>
      </c>
      <c r="BD59" s="253">
        <v>37.700946620308301</v>
      </c>
      <c r="BE59" s="252">
        <v>5.5341767883278232E-3</v>
      </c>
      <c r="BF59" s="252"/>
      <c r="BG59" s="252"/>
      <c r="BH59" s="252"/>
      <c r="BI59" s="252"/>
      <c r="BJ59" s="252"/>
      <c r="BK59" s="252"/>
      <c r="BL59" s="252"/>
      <c r="BM59" s="252"/>
      <c r="BN59" s="252"/>
    </row>
    <row r="60" spans="1:66">
      <c r="L60" s="123"/>
      <c r="AD60" s="171">
        <v>25</v>
      </c>
      <c r="AE60" s="171">
        <v>50</v>
      </c>
      <c r="AF60" s="171">
        <v>100</v>
      </c>
      <c r="AK60" s="123"/>
      <c r="AL60" s="123"/>
      <c r="AM60" s="123"/>
      <c r="AN60" s="118"/>
      <c r="AO60" s="179">
        <f t="shared" si="10"/>
        <v>3.0579717730818616E-4</v>
      </c>
      <c r="BD60" s="180"/>
      <c r="BE60" s="171"/>
      <c r="BF60" s="171"/>
      <c r="BG60" s="171"/>
      <c r="BH60" s="171"/>
    </row>
    <row r="61" spans="1:66">
      <c r="L61" s="123"/>
      <c r="AK61" s="123"/>
      <c r="AL61" s="123"/>
      <c r="AM61" s="123"/>
      <c r="AN61" s="118"/>
      <c r="BD61" s="180"/>
      <c r="BE61" s="171"/>
      <c r="BF61" s="171"/>
      <c r="BG61" s="171"/>
      <c r="BH61" s="171"/>
    </row>
    <row r="62" spans="1:66">
      <c r="A62" s="217" t="s">
        <v>136</v>
      </c>
      <c r="G62" s="218"/>
      <c r="H62" s="218"/>
      <c r="I62" s="218"/>
      <c r="J62" s="218"/>
      <c r="L62" s="123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23"/>
      <c r="AI62" s="123"/>
      <c r="AJ62" s="123"/>
      <c r="AK62" s="123"/>
      <c r="AL62" s="123"/>
      <c r="AM62" s="123"/>
      <c r="AN62" s="118"/>
      <c r="BD62" s="180"/>
      <c r="BE62" s="171"/>
      <c r="BF62" s="171"/>
      <c r="BG62" s="171"/>
      <c r="BH62" s="171"/>
    </row>
    <row r="63" spans="1:66">
      <c r="G63" s="218" t="s">
        <v>9</v>
      </c>
      <c r="H63" s="218">
        <v>1.6</v>
      </c>
      <c r="I63" s="170">
        <v>101325</v>
      </c>
      <c r="J63" s="170"/>
      <c r="L63" s="123"/>
      <c r="S63" s="118">
        <v>36</v>
      </c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>
        <v>0</v>
      </c>
      <c r="AE63" s="118"/>
      <c r="AF63" s="118"/>
      <c r="AG63" s="118"/>
      <c r="AH63" s="123"/>
      <c r="AI63" s="123"/>
      <c r="AJ63" s="123"/>
      <c r="AK63" s="123"/>
      <c r="AL63" s="123"/>
      <c r="AM63" s="123"/>
      <c r="AN63" s="118"/>
      <c r="BD63" s="180"/>
      <c r="BE63" s="171"/>
      <c r="BF63" s="171"/>
      <c r="BG63" s="171"/>
      <c r="BH63" s="171"/>
    </row>
    <row r="64" spans="1:66">
      <c r="G64" s="218" t="s">
        <v>9</v>
      </c>
      <c r="H64" s="218">
        <v>2.7</v>
      </c>
      <c r="I64" s="170">
        <v>101325</v>
      </c>
      <c r="J64" s="170"/>
      <c r="L64" s="123"/>
      <c r="S64" s="118">
        <v>25</v>
      </c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>
        <v>0</v>
      </c>
      <c r="AE64" s="118"/>
      <c r="AF64" s="118"/>
      <c r="AG64" s="118"/>
      <c r="AH64" s="123"/>
      <c r="AI64" s="123"/>
      <c r="AJ64" s="123"/>
      <c r="AK64" s="123"/>
      <c r="AL64" s="123"/>
      <c r="AM64" s="123"/>
      <c r="AN64" s="118"/>
      <c r="BD64" s="180"/>
      <c r="BE64" s="171"/>
      <c r="BF64" s="171"/>
      <c r="BG64" s="171"/>
      <c r="BH64" s="171"/>
    </row>
    <row r="65" spans="1:64">
      <c r="G65" s="218" t="s">
        <v>9</v>
      </c>
      <c r="H65" s="218">
        <v>5.9</v>
      </c>
      <c r="I65" s="170">
        <v>101325</v>
      </c>
      <c r="J65" s="170"/>
      <c r="L65" s="123"/>
      <c r="S65" s="118">
        <v>28</v>
      </c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>
        <v>0</v>
      </c>
      <c r="AE65" s="118"/>
      <c r="AF65" s="118"/>
      <c r="AG65" s="118"/>
      <c r="AH65" s="123"/>
      <c r="AI65" s="123"/>
      <c r="AJ65" s="123"/>
      <c r="AK65" s="123"/>
      <c r="AL65" s="123"/>
      <c r="AM65" s="123"/>
      <c r="AN65" s="118"/>
      <c r="BD65" s="180"/>
      <c r="BE65" s="171"/>
      <c r="BF65" s="171"/>
      <c r="BG65" s="171"/>
      <c r="BH65" s="171"/>
      <c r="BK65" s="116">
        <v>0.51</v>
      </c>
      <c r="BL65" s="116">
        <v>15.3</v>
      </c>
    </row>
    <row r="66" spans="1:64">
      <c r="G66" s="218" t="s">
        <v>13</v>
      </c>
      <c r="H66" s="218">
        <v>1.6</v>
      </c>
      <c r="I66" s="170">
        <v>101325</v>
      </c>
      <c r="J66" s="170"/>
      <c r="L66" s="123"/>
      <c r="S66" s="118">
        <v>42</v>
      </c>
      <c r="T66" s="118"/>
      <c r="U66" s="118"/>
      <c r="V66" s="118"/>
      <c r="W66" s="118"/>
      <c r="X66" s="118"/>
      <c r="Y66" s="118"/>
      <c r="Z66" s="118"/>
      <c r="AA66" s="118"/>
      <c r="AB66" s="118"/>
      <c r="AC66" s="118"/>
      <c r="AD66" s="118">
        <v>0</v>
      </c>
      <c r="AE66" s="118"/>
      <c r="AF66" s="118"/>
      <c r="AG66" s="118"/>
      <c r="AH66" s="123"/>
      <c r="AI66" s="123"/>
      <c r="AJ66" s="123"/>
      <c r="AK66" s="123"/>
      <c r="AL66" s="123"/>
      <c r="AM66" s="123"/>
      <c r="AN66" s="118"/>
      <c r="BD66" s="180"/>
      <c r="BE66" s="171"/>
      <c r="BF66" s="171"/>
      <c r="BG66" s="171"/>
      <c r="BH66" s="171"/>
      <c r="BK66" s="116">
        <v>3.84</v>
      </c>
      <c r="BL66" s="116">
        <v>5.9</v>
      </c>
    </row>
    <row r="67" spans="1:64">
      <c r="G67" s="218" t="s">
        <v>13</v>
      </c>
      <c r="H67" s="218">
        <v>2.7</v>
      </c>
      <c r="I67" s="170">
        <v>101325</v>
      </c>
      <c r="J67" s="170"/>
      <c r="L67" s="123"/>
      <c r="S67" s="118">
        <v>38</v>
      </c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>
        <v>0</v>
      </c>
      <c r="AE67" s="118"/>
      <c r="AF67" s="118"/>
      <c r="AG67" s="118"/>
      <c r="AH67" s="123"/>
      <c r="AI67" s="123"/>
      <c r="AJ67" s="123"/>
      <c r="AK67" s="123"/>
      <c r="AL67" s="123"/>
      <c r="AM67" s="123"/>
      <c r="AN67" s="118"/>
      <c r="BD67" s="180"/>
      <c r="BE67" s="171"/>
      <c r="BF67" s="171"/>
      <c r="BG67" s="171"/>
      <c r="BH67" s="171"/>
      <c r="BK67" s="116">
        <v>1.1200000000000001</v>
      </c>
      <c r="BL67" s="116">
        <v>10</v>
      </c>
    </row>
    <row r="68" spans="1:64">
      <c r="G68" s="218" t="s">
        <v>13</v>
      </c>
      <c r="H68" s="218">
        <v>5.9</v>
      </c>
      <c r="I68" s="170">
        <v>101325</v>
      </c>
      <c r="J68" s="170"/>
      <c r="L68" s="123"/>
      <c r="S68" s="118">
        <v>42</v>
      </c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>
        <v>0</v>
      </c>
      <c r="AE68" s="118"/>
      <c r="AF68" s="118"/>
      <c r="AG68" s="118"/>
      <c r="AH68" s="123"/>
      <c r="AI68" s="123"/>
      <c r="AJ68" s="123"/>
      <c r="AK68" s="123"/>
      <c r="AL68" s="123"/>
      <c r="AM68" s="123"/>
      <c r="AN68" s="118"/>
      <c r="BD68" s="180"/>
      <c r="BE68" s="171"/>
      <c r="BF68" s="171"/>
      <c r="BG68" s="171"/>
      <c r="BH68" s="171"/>
      <c r="BK68" s="116">
        <v>7.87</v>
      </c>
      <c r="BL68" s="116">
        <v>3.7</v>
      </c>
    </row>
    <row r="69" spans="1:64">
      <c r="G69" s="218"/>
      <c r="H69" s="218"/>
      <c r="I69" s="170"/>
      <c r="J69" s="170"/>
      <c r="L69" s="123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23"/>
      <c r="AI69" s="123"/>
      <c r="AJ69" s="123"/>
      <c r="AK69" s="123"/>
      <c r="AL69" s="123"/>
      <c r="AM69" s="123"/>
      <c r="AN69" s="118"/>
      <c r="BD69" s="180"/>
      <c r="BE69" s="171"/>
      <c r="BF69" s="171"/>
      <c r="BG69" s="171"/>
      <c r="BH69" s="171"/>
      <c r="BK69" s="116">
        <v>7</v>
      </c>
      <c r="BL69" s="116">
        <v>4.2</v>
      </c>
    </row>
    <row r="70" spans="1:64">
      <c r="A70" s="217" t="s">
        <v>145</v>
      </c>
      <c r="G70" s="116"/>
      <c r="L70" s="123"/>
      <c r="AI70" s="123"/>
      <c r="AJ70" s="123"/>
      <c r="AK70" s="123"/>
      <c r="AL70" s="123"/>
      <c r="AM70" s="123"/>
      <c r="AN70" s="118"/>
      <c r="BD70" s="180"/>
      <c r="BE70" s="171"/>
      <c r="BF70" s="171"/>
      <c r="BG70" s="171"/>
      <c r="BH70" s="171"/>
      <c r="BK70" s="116">
        <v>2.23</v>
      </c>
      <c r="BL70" s="116">
        <v>7.8</v>
      </c>
    </row>
    <row r="71" spans="1:64">
      <c r="A71" s="217" t="s">
        <v>145</v>
      </c>
      <c r="G71" s="218" t="s">
        <v>9</v>
      </c>
      <c r="H71" s="218">
        <v>2.7</v>
      </c>
      <c r="I71" s="170"/>
      <c r="J71" s="170"/>
      <c r="L71" s="123"/>
      <c r="S71" s="118">
        <v>26.8</v>
      </c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>
        <v>0</v>
      </c>
      <c r="AE71" s="118"/>
      <c r="AF71" s="118"/>
      <c r="AG71" s="118"/>
      <c r="AH71" s="123"/>
      <c r="AI71" s="123"/>
      <c r="AJ71" s="123"/>
      <c r="AK71" s="123"/>
      <c r="AL71" s="123"/>
      <c r="AM71" s="123"/>
      <c r="AN71" s="118"/>
      <c r="BD71" s="180"/>
      <c r="BE71" s="171"/>
      <c r="BF71" s="171"/>
      <c r="BG71" s="171"/>
      <c r="BH71" s="171"/>
      <c r="BK71" s="116">
        <v>5.13</v>
      </c>
      <c r="BL71" s="116">
        <v>4.5999999999999996</v>
      </c>
    </row>
    <row r="72" spans="1:64">
      <c r="A72" s="217" t="s">
        <v>145</v>
      </c>
      <c r="G72" s="218" t="s">
        <v>9</v>
      </c>
      <c r="H72" s="218">
        <v>1.6</v>
      </c>
      <c r="I72" s="170"/>
      <c r="J72" s="170"/>
      <c r="L72" s="123"/>
      <c r="S72" s="118">
        <v>18.224</v>
      </c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>
        <v>0</v>
      </c>
      <c r="AE72" s="118"/>
      <c r="AF72" s="118"/>
      <c r="AG72" s="118"/>
      <c r="AH72" s="123"/>
      <c r="AJ72" s="123"/>
      <c r="AK72" s="123"/>
      <c r="AL72" s="123"/>
      <c r="AM72" s="123"/>
      <c r="AN72" s="118"/>
      <c r="BD72" s="180"/>
      <c r="BE72" s="171"/>
      <c r="BF72" s="171"/>
      <c r="BG72" s="171"/>
      <c r="BH72" s="171"/>
      <c r="BK72" s="116">
        <v>2.0699999999999998</v>
      </c>
      <c r="BL72" s="116">
        <v>10.1</v>
      </c>
    </row>
    <row r="73" spans="1:64">
      <c r="A73" s="217" t="s">
        <v>145</v>
      </c>
      <c r="G73" s="218" t="s">
        <v>9</v>
      </c>
      <c r="H73" s="218">
        <v>1.6</v>
      </c>
      <c r="I73" s="170"/>
      <c r="J73" s="170"/>
      <c r="L73" s="123"/>
      <c r="S73" s="118">
        <v>18.492000000000001</v>
      </c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>
        <v>0</v>
      </c>
      <c r="AE73" s="118"/>
      <c r="AF73" s="118"/>
      <c r="AG73" s="118"/>
      <c r="AH73" s="123"/>
      <c r="AI73" s="123"/>
      <c r="AJ73" s="123"/>
      <c r="AK73" s="123"/>
      <c r="AL73" s="123"/>
      <c r="AM73" s="123"/>
      <c r="AN73" s="118"/>
      <c r="BD73" s="180"/>
      <c r="BE73" s="171"/>
      <c r="BF73" s="171"/>
      <c r="BG73" s="171"/>
      <c r="BH73" s="171"/>
      <c r="BK73" s="116">
        <v>1.57</v>
      </c>
      <c r="BL73" s="116">
        <v>9.9</v>
      </c>
    </row>
    <row r="74" spans="1:64">
      <c r="A74" s="217" t="s">
        <v>145</v>
      </c>
      <c r="G74" s="218" t="s">
        <v>9</v>
      </c>
      <c r="H74" s="218">
        <v>1.6</v>
      </c>
      <c r="I74" s="170"/>
      <c r="J74" s="170"/>
      <c r="L74" s="123"/>
      <c r="S74" s="118">
        <v>19.564</v>
      </c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>
        <v>0</v>
      </c>
      <c r="AE74" s="118"/>
      <c r="AF74" s="118"/>
      <c r="AG74" s="118"/>
      <c r="AH74" s="123"/>
      <c r="AI74" s="123"/>
      <c r="AJ74" s="123"/>
      <c r="AK74" s="123"/>
      <c r="AL74" s="123"/>
      <c r="AM74" s="123"/>
      <c r="AN74" s="118"/>
      <c r="BD74" s="180"/>
      <c r="BE74" s="171"/>
      <c r="BF74" s="171"/>
      <c r="BG74" s="171"/>
      <c r="BH74" s="171"/>
      <c r="BK74" s="116">
        <v>0.77</v>
      </c>
      <c r="BL74" s="116">
        <v>15.4</v>
      </c>
    </row>
    <row r="75" spans="1:64">
      <c r="A75" s="217" t="s">
        <v>145</v>
      </c>
      <c r="G75" s="218" t="s">
        <v>146</v>
      </c>
      <c r="H75" s="218">
        <v>1.6</v>
      </c>
      <c r="I75" s="170"/>
      <c r="J75" s="170"/>
      <c r="L75" s="123"/>
      <c r="S75" s="118">
        <f>AVERAGE(S72,S73,S74,S71)</f>
        <v>20.77</v>
      </c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>
        <v>0</v>
      </c>
      <c r="AE75" s="118"/>
      <c r="AF75" s="118"/>
      <c r="AG75" s="118"/>
      <c r="AH75" s="123"/>
      <c r="AI75" s="123"/>
      <c r="AJ75" s="123"/>
      <c r="AK75" s="123"/>
      <c r="AL75" s="123"/>
      <c r="AM75" s="123"/>
      <c r="AN75" s="118"/>
      <c r="BD75" s="180"/>
      <c r="BE75" s="171"/>
      <c r="BF75" s="171"/>
      <c r="BG75" s="171"/>
      <c r="BH75" s="171"/>
      <c r="BK75" s="116">
        <v>1</v>
      </c>
      <c r="BL75" s="116">
        <v>13.3</v>
      </c>
    </row>
    <row r="76" spans="1:64">
      <c r="A76" s="217" t="s">
        <v>145</v>
      </c>
      <c r="G76" s="218" t="s">
        <v>13</v>
      </c>
      <c r="H76" s="218">
        <v>1.6</v>
      </c>
      <c r="I76" s="170"/>
      <c r="J76" s="170"/>
      <c r="L76" s="123"/>
      <c r="S76" s="118">
        <v>28.14</v>
      </c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>
        <v>0</v>
      </c>
      <c r="AE76" s="118"/>
      <c r="AF76" s="118"/>
      <c r="AG76" s="118"/>
      <c r="AH76" s="123"/>
      <c r="AI76" s="123"/>
      <c r="AJ76" s="123"/>
      <c r="AK76" s="123"/>
      <c r="AL76" s="123"/>
      <c r="AM76" s="123"/>
      <c r="AN76" s="118"/>
      <c r="BK76" s="116">
        <v>1.73</v>
      </c>
      <c r="BL76" s="116">
        <v>9.1999999999999993</v>
      </c>
    </row>
    <row r="77" spans="1:64">
      <c r="A77" s="217" t="s">
        <v>145</v>
      </c>
      <c r="G77" s="218" t="s">
        <v>13</v>
      </c>
      <c r="H77" s="218">
        <v>1.6</v>
      </c>
      <c r="I77" s="170"/>
      <c r="J77" s="170"/>
      <c r="L77" s="123"/>
      <c r="S77" s="118">
        <v>28.408000000000001</v>
      </c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>
        <v>0</v>
      </c>
      <c r="AE77" s="118"/>
      <c r="AF77" s="118"/>
      <c r="AG77" s="118"/>
      <c r="AH77" s="123"/>
      <c r="AI77" s="123"/>
      <c r="AJ77" s="123"/>
      <c r="AK77" s="123"/>
      <c r="AL77" s="123"/>
      <c r="AM77" s="123"/>
      <c r="AN77" s="118"/>
      <c r="BK77" s="116">
        <v>1.77</v>
      </c>
      <c r="BL77" s="116">
        <v>9.9</v>
      </c>
    </row>
    <row r="78" spans="1:64">
      <c r="A78" s="217" t="s">
        <v>145</v>
      </c>
      <c r="G78" s="218" t="s">
        <v>13</v>
      </c>
      <c r="H78" s="218">
        <v>1.6</v>
      </c>
      <c r="I78" s="170"/>
      <c r="J78" s="170"/>
      <c r="L78" s="123"/>
      <c r="S78" s="118">
        <v>25.46</v>
      </c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>
        <v>0</v>
      </c>
      <c r="AE78" s="118"/>
      <c r="AF78" s="118"/>
      <c r="AG78" s="118"/>
      <c r="AH78" s="123"/>
      <c r="AI78" s="123"/>
      <c r="AJ78" s="123"/>
      <c r="AK78" s="123"/>
      <c r="AL78" s="123"/>
      <c r="AM78" s="123"/>
      <c r="AN78" s="118"/>
      <c r="BK78" s="116">
        <v>1.93</v>
      </c>
      <c r="BL78" s="116">
        <v>9.1999999999999993</v>
      </c>
    </row>
    <row r="79" spans="1:64">
      <c r="A79" s="217" t="s">
        <v>145</v>
      </c>
      <c r="G79" s="218" t="s">
        <v>13</v>
      </c>
      <c r="H79" s="218">
        <v>1.6</v>
      </c>
      <c r="I79" s="170"/>
      <c r="J79" s="170"/>
      <c r="L79" s="123"/>
      <c r="S79" s="118">
        <v>27.872</v>
      </c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>
        <v>0</v>
      </c>
      <c r="AE79" s="118"/>
      <c r="AF79" s="118"/>
      <c r="AG79" s="118"/>
      <c r="AH79" s="123"/>
      <c r="AI79" s="123"/>
      <c r="AJ79" s="123"/>
      <c r="AK79" s="123"/>
      <c r="AL79" s="123"/>
      <c r="AM79" s="123"/>
      <c r="AN79" s="118"/>
      <c r="BK79" s="116">
        <v>0.65</v>
      </c>
      <c r="BL79" s="116">
        <v>14.7</v>
      </c>
    </row>
    <row r="80" spans="1:64">
      <c r="A80" s="217" t="s">
        <v>145</v>
      </c>
      <c r="G80" s="218" t="s">
        <v>13</v>
      </c>
      <c r="H80" s="218">
        <v>1.6</v>
      </c>
      <c r="I80" s="170"/>
      <c r="J80" s="170"/>
      <c r="L80" s="123"/>
      <c r="S80" s="118">
        <v>27.068000000000001</v>
      </c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>
        <v>0</v>
      </c>
      <c r="AE80" s="118"/>
      <c r="AF80" s="118"/>
      <c r="AG80" s="118"/>
      <c r="AH80" s="123"/>
      <c r="AI80" s="123"/>
      <c r="AJ80" s="123"/>
      <c r="AK80" s="123"/>
      <c r="AL80" s="123"/>
      <c r="AM80" s="123"/>
      <c r="AN80" s="118"/>
      <c r="BK80" s="116">
        <v>0.8</v>
      </c>
      <c r="BL80" s="116">
        <v>14.7</v>
      </c>
    </row>
    <row r="81" spans="1:64">
      <c r="A81" s="217" t="s">
        <v>145</v>
      </c>
      <c r="G81" s="218" t="s">
        <v>13</v>
      </c>
      <c r="H81" s="218">
        <v>1.6</v>
      </c>
      <c r="I81" s="170"/>
      <c r="J81" s="170"/>
      <c r="L81" s="123"/>
      <c r="S81" s="118">
        <v>26.264000000000003</v>
      </c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>
        <v>0</v>
      </c>
      <c r="AE81" s="118"/>
      <c r="AF81" s="118"/>
      <c r="AG81" s="118"/>
      <c r="AH81" s="123"/>
      <c r="AI81" s="123"/>
      <c r="AJ81" s="123"/>
      <c r="AK81" s="123"/>
      <c r="AL81" s="123"/>
      <c r="AM81" s="123"/>
      <c r="AN81" s="118"/>
      <c r="BK81" s="116">
        <v>0.27</v>
      </c>
      <c r="BL81" s="116">
        <v>19.100000000000001</v>
      </c>
    </row>
    <row r="82" spans="1:64">
      <c r="A82" s="217" t="s">
        <v>145</v>
      </c>
      <c r="G82" s="218" t="s">
        <v>13</v>
      </c>
      <c r="H82" s="218">
        <v>1.6</v>
      </c>
      <c r="I82" s="170"/>
      <c r="J82" s="170"/>
      <c r="L82" s="123"/>
      <c r="S82" s="118">
        <v>35.108000000000004</v>
      </c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>
        <v>0</v>
      </c>
      <c r="AE82" s="118"/>
      <c r="AF82" s="118"/>
      <c r="AG82" s="118"/>
      <c r="AH82" s="123"/>
      <c r="AI82" s="123"/>
      <c r="AJ82" s="123"/>
      <c r="AK82" s="123"/>
      <c r="AL82" s="123"/>
      <c r="AM82" s="123"/>
      <c r="AN82" s="118"/>
      <c r="BK82" s="116">
        <v>0.22</v>
      </c>
      <c r="BL82" s="116">
        <v>17.899999999999999</v>
      </c>
    </row>
    <row r="83" spans="1:64">
      <c r="A83" s="217" t="s">
        <v>145</v>
      </c>
      <c r="G83" s="218" t="s">
        <v>13</v>
      </c>
      <c r="H83" s="218">
        <v>1.6</v>
      </c>
      <c r="I83" s="170"/>
      <c r="J83" s="170"/>
      <c r="L83" s="123"/>
      <c r="S83" s="118">
        <v>31.624000000000002</v>
      </c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>
        <v>0</v>
      </c>
      <c r="AE83" s="118"/>
      <c r="AF83" s="118"/>
      <c r="AG83" s="118"/>
      <c r="AH83" s="123"/>
      <c r="AI83" s="123"/>
      <c r="AJ83" s="123"/>
      <c r="AK83" s="123"/>
      <c r="AL83" s="123"/>
      <c r="AM83" s="123"/>
      <c r="AN83" s="118"/>
      <c r="BK83" s="116">
        <v>0.28000000000000003</v>
      </c>
      <c r="BL83" s="116">
        <v>20</v>
      </c>
    </row>
    <row r="84" spans="1:64">
      <c r="A84" s="217" t="s">
        <v>145</v>
      </c>
      <c r="G84" s="218" t="s">
        <v>147</v>
      </c>
      <c r="H84" s="218">
        <v>1.6</v>
      </c>
      <c r="I84" s="218"/>
      <c r="J84" s="218"/>
      <c r="L84" s="123"/>
      <c r="S84" s="118">
        <f>AVERAGE(S76:S83)</f>
        <v>28.743000000000002</v>
      </c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>
        <v>0</v>
      </c>
      <c r="AE84" s="118"/>
      <c r="AF84" s="118"/>
      <c r="AG84" s="118"/>
      <c r="AH84" s="123"/>
      <c r="AI84" s="123"/>
      <c r="AJ84" s="123"/>
      <c r="AK84" s="123"/>
      <c r="AL84" s="123"/>
      <c r="AM84" s="123"/>
      <c r="AN84" s="118"/>
      <c r="BK84" s="116">
        <v>0.15</v>
      </c>
      <c r="BL84" s="116">
        <v>24.8</v>
      </c>
    </row>
    <row r="85" spans="1:64">
      <c r="A85" s="217" t="s">
        <v>145</v>
      </c>
      <c r="C85" s="116" t="s">
        <v>149</v>
      </c>
      <c r="G85" s="218" t="s">
        <v>9</v>
      </c>
      <c r="H85" s="218"/>
      <c r="I85" s="218"/>
      <c r="J85" s="218"/>
      <c r="L85" s="123"/>
      <c r="S85" s="219">
        <v>14.0716</v>
      </c>
      <c r="T85" s="219"/>
      <c r="U85" s="219"/>
      <c r="V85" s="118">
        <v>1162.2987427650205</v>
      </c>
      <c r="W85" s="118"/>
      <c r="X85" s="118"/>
      <c r="Y85" s="118"/>
      <c r="Z85" s="118"/>
      <c r="AA85" s="118"/>
      <c r="AB85" s="118">
        <v>9.6157769766305954</v>
      </c>
      <c r="AC85" s="118"/>
      <c r="AD85" s="118">
        <v>0</v>
      </c>
      <c r="AE85" s="118"/>
      <c r="AF85" s="118"/>
      <c r="AG85" s="118"/>
      <c r="AH85" s="123"/>
      <c r="AI85" s="123"/>
      <c r="AJ85" s="123"/>
      <c r="AK85" s="123"/>
      <c r="AL85" s="123"/>
      <c r="AM85" s="123"/>
      <c r="AN85" s="118"/>
      <c r="BK85" s="116">
        <v>0.18</v>
      </c>
      <c r="BL85" s="116">
        <v>20.5</v>
      </c>
    </row>
    <row r="86" spans="1:64">
      <c r="A86" s="217" t="s">
        <v>145</v>
      </c>
      <c r="C86" s="116" t="s">
        <v>149</v>
      </c>
      <c r="G86" s="218" t="s">
        <v>9</v>
      </c>
      <c r="H86" s="218"/>
      <c r="I86" s="218"/>
      <c r="J86" s="218"/>
      <c r="L86" s="123"/>
      <c r="S86" s="219">
        <v>17.3752</v>
      </c>
      <c r="T86" s="219"/>
      <c r="U86" s="219"/>
      <c r="V86" s="118">
        <v>1162.2987427650205</v>
      </c>
      <c r="W86" s="118"/>
      <c r="X86" s="118"/>
      <c r="Y86" s="118"/>
      <c r="Z86" s="118"/>
      <c r="AA86" s="118"/>
      <c r="AB86" s="118">
        <v>10.592812291897022</v>
      </c>
      <c r="AC86" s="118"/>
      <c r="AD86" s="118">
        <v>0</v>
      </c>
      <c r="AE86" s="118"/>
      <c r="AF86" s="118"/>
      <c r="AG86" s="118"/>
      <c r="AH86" s="123"/>
      <c r="AI86" s="123"/>
      <c r="AJ86" s="123"/>
      <c r="AK86" s="123"/>
      <c r="AL86" s="123"/>
      <c r="AM86" s="123"/>
      <c r="AN86" s="118"/>
      <c r="BK86" s="116">
        <v>0.27</v>
      </c>
      <c r="BL86" s="116">
        <v>14.5</v>
      </c>
    </row>
    <row r="87" spans="1:64">
      <c r="A87" s="217" t="s">
        <v>145</v>
      </c>
      <c r="C87" s="116" t="s">
        <v>149</v>
      </c>
      <c r="G87" s="218" t="s">
        <v>9</v>
      </c>
      <c r="H87" s="218"/>
      <c r="I87" s="218"/>
      <c r="J87" s="218"/>
      <c r="L87" s="123"/>
      <c r="S87" s="219">
        <v>16.9148</v>
      </c>
      <c r="T87" s="219"/>
      <c r="U87" s="219"/>
      <c r="V87" s="118">
        <v>1162.2987427650205</v>
      </c>
      <c r="W87" s="118"/>
      <c r="X87" s="118"/>
      <c r="Y87" s="118"/>
      <c r="Z87" s="118"/>
      <c r="AA87" s="118"/>
      <c r="AB87" s="118">
        <v>11.961417679002288</v>
      </c>
      <c r="AC87" s="118"/>
      <c r="AD87" s="118">
        <v>0</v>
      </c>
      <c r="AE87" s="118"/>
      <c r="AF87" s="118"/>
      <c r="AG87" s="118"/>
      <c r="AH87" s="123"/>
      <c r="AI87" s="123"/>
      <c r="AJ87" s="123"/>
      <c r="AK87" s="123"/>
      <c r="AL87" s="123"/>
      <c r="AM87" s="123"/>
      <c r="AN87" s="118"/>
      <c r="BK87" s="116">
        <v>0.17</v>
      </c>
      <c r="BL87" s="116">
        <v>22.1</v>
      </c>
    </row>
    <row r="88" spans="1:64">
      <c r="A88" s="217" t="s">
        <v>145</v>
      </c>
      <c r="C88" s="116" t="s">
        <v>149</v>
      </c>
      <c r="G88" s="218" t="s">
        <v>9</v>
      </c>
      <c r="H88" s="218"/>
      <c r="I88" s="218"/>
      <c r="J88" s="218"/>
      <c r="L88" s="123"/>
      <c r="S88" s="219">
        <v>26.002400000000002</v>
      </c>
      <c r="T88" s="219"/>
      <c r="U88" s="219"/>
      <c r="V88" s="118">
        <v>1162.2987427650205</v>
      </c>
      <c r="W88" s="118"/>
      <c r="X88" s="118"/>
      <c r="Y88" s="118"/>
      <c r="Z88" s="118"/>
      <c r="AA88" s="118"/>
      <c r="AB88" s="118">
        <v>14.569185018407879</v>
      </c>
      <c r="AC88" s="118"/>
      <c r="AD88" s="118">
        <v>0</v>
      </c>
      <c r="AE88" s="118"/>
      <c r="AF88" s="118"/>
      <c r="AG88" s="118"/>
      <c r="AH88" s="123"/>
      <c r="AI88" s="123"/>
      <c r="AJ88" s="123"/>
      <c r="AK88" s="123"/>
      <c r="AL88" s="123"/>
      <c r="AM88" s="123"/>
      <c r="AN88" s="118"/>
    </row>
    <row r="89" spans="1:64">
      <c r="A89" s="217" t="s">
        <v>145</v>
      </c>
      <c r="C89" s="116" t="s">
        <v>149</v>
      </c>
      <c r="G89" s="218" t="s">
        <v>9</v>
      </c>
      <c r="H89" s="218"/>
      <c r="I89" s="218"/>
      <c r="J89" s="218"/>
      <c r="L89" s="123"/>
      <c r="S89" s="219">
        <v>24.866399999999999</v>
      </c>
      <c r="T89" s="219"/>
      <c r="U89" s="219"/>
      <c r="V89" s="118">
        <v>1162.2987427650205</v>
      </c>
      <c r="W89" s="118"/>
      <c r="X89" s="118"/>
      <c r="Y89" s="118"/>
      <c r="Z89" s="118"/>
      <c r="AA89" s="118"/>
      <c r="AB89" s="118">
        <v>17.515704403163831</v>
      </c>
      <c r="AC89" s="118"/>
      <c r="AD89" s="118">
        <v>0</v>
      </c>
      <c r="AE89" s="118"/>
      <c r="AF89" s="118"/>
      <c r="AG89" s="118"/>
      <c r="AH89" s="123"/>
      <c r="AI89" s="123"/>
      <c r="AJ89" s="123"/>
      <c r="AK89" s="123"/>
      <c r="AL89" s="123"/>
      <c r="AM89" s="123"/>
      <c r="AN89" s="118"/>
    </row>
    <row r="90" spans="1:64">
      <c r="A90" s="217" t="s">
        <v>145</v>
      </c>
      <c r="C90" s="116" t="s">
        <v>149</v>
      </c>
      <c r="G90" s="218" t="s">
        <v>9</v>
      </c>
      <c r="H90" s="218"/>
      <c r="I90" s="218"/>
      <c r="J90" s="218"/>
      <c r="L90" s="123"/>
      <c r="S90" s="219">
        <v>28.590199999999999</v>
      </c>
      <c r="T90" s="219"/>
      <c r="U90" s="219"/>
      <c r="V90" s="118">
        <v>1162.2987427650205</v>
      </c>
      <c r="W90" s="118"/>
      <c r="X90" s="118"/>
      <c r="Y90" s="118"/>
      <c r="Z90" s="118"/>
      <c r="AA90" s="118"/>
      <c r="AB90" s="118">
        <v>18.390637957188588</v>
      </c>
      <c r="AC90" s="118"/>
      <c r="AD90" s="118">
        <v>0</v>
      </c>
      <c r="AE90" s="118"/>
      <c r="AF90" s="118"/>
      <c r="AG90" s="118"/>
      <c r="AH90" s="123"/>
      <c r="AI90" s="123"/>
      <c r="AJ90" s="123"/>
      <c r="AK90" s="123"/>
      <c r="AL90" s="123"/>
      <c r="AM90" s="123"/>
      <c r="AN90" s="118"/>
    </row>
    <row r="91" spans="1:64">
      <c r="A91" s="217" t="s">
        <v>145</v>
      </c>
      <c r="C91" s="116" t="s">
        <v>149</v>
      </c>
      <c r="G91" s="218" t="s">
        <v>9</v>
      </c>
      <c r="H91" s="218"/>
      <c r="I91" s="218"/>
      <c r="J91" s="218"/>
      <c r="L91" s="123"/>
      <c r="S91" s="219">
        <v>29.826899999999998</v>
      </c>
      <c r="T91" s="219"/>
      <c r="U91" s="219"/>
      <c r="V91" s="118">
        <v>1162.2987427650205</v>
      </c>
      <c r="W91" s="118"/>
      <c r="X91" s="118"/>
      <c r="Y91" s="118"/>
      <c r="Z91" s="118"/>
      <c r="AA91" s="118"/>
      <c r="AB91" s="118">
        <v>18.822999646138882</v>
      </c>
      <c r="AC91" s="118"/>
      <c r="AD91" s="118">
        <v>0</v>
      </c>
      <c r="AE91" s="118"/>
      <c r="AF91" s="118"/>
      <c r="AG91" s="118"/>
      <c r="AH91" s="123"/>
      <c r="AI91" s="123"/>
      <c r="AJ91" s="123"/>
      <c r="AK91" s="123"/>
      <c r="AL91" s="123"/>
      <c r="AM91" s="123"/>
      <c r="AN91" s="118"/>
    </row>
    <row r="92" spans="1:64">
      <c r="A92" s="217" t="s">
        <v>145</v>
      </c>
      <c r="C92" s="116" t="s">
        <v>149</v>
      </c>
      <c r="G92" s="218" t="s">
        <v>9</v>
      </c>
      <c r="H92" s="218"/>
      <c r="I92" s="218"/>
      <c r="J92" s="218"/>
      <c r="L92" s="123"/>
      <c r="S92" s="219">
        <v>35.805700000000002</v>
      </c>
      <c r="T92" s="219"/>
      <c r="U92" s="219"/>
      <c r="V92" s="118">
        <v>1162.2987427650205</v>
      </c>
      <c r="W92" s="118"/>
      <c r="X92" s="118"/>
      <c r="Y92" s="118"/>
      <c r="Z92" s="118"/>
      <c r="AA92" s="118"/>
      <c r="AB92" s="118">
        <v>20.877552154201396</v>
      </c>
      <c r="AC92" s="118"/>
      <c r="AD92" s="118">
        <v>0</v>
      </c>
      <c r="AE92" s="118"/>
      <c r="AF92" s="118"/>
      <c r="AG92" s="118"/>
      <c r="AH92" s="123"/>
      <c r="AI92" s="123"/>
      <c r="AJ92" s="123"/>
      <c r="AK92" s="123"/>
      <c r="AL92" s="123"/>
      <c r="AM92" s="123"/>
      <c r="AN92" s="118"/>
    </row>
    <row r="93" spans="1:64">
      <c r="A93" s="217" t="s">
        <v>145</v>
      </c>
      <c r="C93" s="116" t="s">
        <v>149</v>
      </c>
      <c r="G93" s="218" t="s">
        <v>9</v>
      </c>
      <c r="H93" s="218"/>
      <c r="I93" s="218"/>
      <c r="J93" s="218"/>
      <c r="L93" s="123"/>
      <c r="S93" s="219">
        <v>36.588799999999999</v>
      </c>
      <c r="T93" s="219"/>
      <c r="U93" s="219"/>
      <c r="V93" s="118">
        <v>1162.2987427650205</v>
      </c>
      <c r="W93" s="118"/>
      <c r="X93" s="118"/>
      <c r="Y93" s="118"/>
      <c r="Z93" s="118"/>
      <c r="AA93" s="118"/>
      <c r="AB93" s="118">
        <v>22.467443473843893</v>
      </c>
      <c r="AC93" s="118"/>
      <c r="AD93" s="118">
        <v>0</v>
      </c>
      <c r="AE93" s="118"/>
      <c r="AF93" s="118"/>
      <c r="AG93" s="118"/>
      <c r="AH93" s="123"/>
      <c r="AI93" s="123"/>
      <c r="AJ93" s="123"/>
      <c r="AK93" s="123"/>
      <c r="AL93" s="123"/>
      <c r="AM93" s="123"/>
      <c r="AN93" s="118"/>
    </row>
    <row r="94" spans="1:64">
      <c r="A94" s="217" t="s">
        <v>145</v>
      </c>
      <c r="C94" s="116" t="s">
        <v>149</v>
      </c>
      <c r="G94" s="218" t="s">
        <v>9</v>
      </c>
      <c r="H94" s="218"/>
      <c r="I94" s="218"/>
      <c r="J94" s="218"/>
      <c r="L94" s="123"/>
      <c r="S94" s="219">
        <v>33.318800000000003</v>
      </c>
      <c r="T94" s="219"/>
      <c r="U94" s="219"/>
      <c r="V94" s="118">
        <v>1162.2987427650205</v>
      </c>
      <c r="W94" s="118"/>
      <c r="X94" s="118"/>
      <c r="Y94" s="118"/>
      <c r="Z94" s="118"/>
      <c r="AA94" s="118"/>
      <c r="AB94" s="118">
        <v>26.979997709029142</v>
      </c>
      <c r="AC94" s="118"/>
      <c r="AD94" s="118">
        <v>0</v>
      </c>
      <c r="AE94" s="118"/>
      <c r="AF94" s="118"/>
      <c r="AG94" s="118"/>
      <c r="AH94" s="123"/>
      <c r="AI94" s="123"/>
      <c r="AJ94" s="123"/>
      <c r="AK94" s="123"/>
      <c r="AL94" s="123"/>
      <c r="AM94" s="123"/>
      <c r="AN94" s="118"/>
    </row>
    <row r="95" spans="1:64">
      <c r="A95" s="217" t="s">
        <v>145</v>
      </c>
      <c r="C95" s="116" t="s">
        <v>149</v>
      </c>
      <c r="G95" s="218" t="s">
        <v>13</v>
      </c>
      <c r="H95" s="218"/>
      <c r="I95" s="218"/>
      <c r="J95" s="218"/>
      <c r="L95" s="123"/>
      <c r="S95" s="219">
        <v>18.978300000000001</v>
      </c>
      <c r="T95" s="219"/>
      <c r="U95" s="219"/>
      <c r="V95" s="118">
        <v>1826.8482485022037</v>
      </c>
      <c r="W95" s="118"/>
      <c r="X95" s="118"/>
      <c r="Y95" s="118"/>
      <c r="Z95" s="118"/>
      <c r="AA95" s="118"/>
      <c r="AB95" s="118">
        <v>12.611629183524954</v>
      </c>
      <c r="AC95" s="118"/>
      <c r="AD95" s="118">
        <v>0</v>
      </c>
      <c r="AE95" s="118"/>
      <c r="AF95" s="118"/>
      <c r="AG95" s="118"/>
      <c r="AH95" s="123"/>
      <c r="AI95" s="123"/>
      <c r="AJ95" s="123"/>
      <c r="AK95" s="123"/>
      <c r="AL95" s="123"/>
      <c r="AM95" s="123"/>
      <c r="AN95" s="118"/>
    </row>
    <row r="96" spans="1:64">
      <c r="A96" s="217" t="s">
        <v>145</v>
      </c>
      <c r="C96" s="116" t="s">
        <v>149</v>
      </c>
      <c r="G96" s="218" t="s">
        <v>13</v>
      </c>
      <c r="H96" s="218"/>
      <c r="I96" s="218"/>
      <c r="J96" s="218"/>
      <c r="L96" s="123"/>
      <c r="S96" s="219">
        <v>23.098600000000001</v>
      </c>
      <c r="T96" s="219"/>
      <c r="U96" s="219"/>
      <c r="V96" s="118">
        <v>1826.8482485022037</v>
      </c>
      <c r="W96" s="118"/>
      <c r="X96" s="118"/>
      <c r="Y96" s="118"/>
      <c r="Z96" s="118"/>
      <c r="AA96" s="118"/>
      <c r="AB96" s="118">
        <v>14.123226123753767</v>
      </c>
      <c r="AC96" s="118"/>
      <c r="AD96" s="118">
        <v>0</v>
      </c>
      <c r="AE96" s="118"/>
      <c r="AF96" s="118"/>
      <c r="AG96" s="118"/>
      <c r="AH96" s="123"/>
      <c r="AI96" s="123"/>
      <c r="AJ96" s="123"/>
      <c r="AK96" s="123"/>
      <c r="AL96" s="123"/>
      <c r="AM96" s="123"/>
      <c r="AN96" s="118"/>
    </row>
    <row r="97" spans="1:52">
      <c r="A97" s="217" t="s">
        <v>145</v>
      </c>
      <c r="C97" s="116" t="s">
        <v>149</v>
      </c>
      <c r="G97" s="218" t="s">
        <v>13</v>
      </c>
      <c r="H97" s="218"/>
      <c r="I97" s="218"/>
      <c r="J97" s="218"/>
      <c r="L97" s="123"/>
      <c r="S97" s="219">
        <v>23.495200000000001</v>
      </c>
      <c r="T97" s="219"/>
      <c r="U97" s="219"/>
      <c r="V97" s="118">
        <v>1826.8482485022037</v>
      </c>
      <c r="W97" s="118"/>
      <c r="X97" s="118"/>
      <c r="Y97" s="118"/>
      <c r="Z97" s="118"/>
      <c r="AA97" s="118"/>
      <c r="AB97" s="118">
        <v>14.759840422572609</v>
      </c>
      <c r="AC97" s="118"/>
      <c r="AD97" s="118">
        <v>0</v>
      </c>
      <c r="AE97" s="118"/>
      <c r="AF97" s="118"/>
      <c r="AG97" s="118"/>
      <c r="AH97" s="123"/>
      <c r="AI97" s="123"/>
      <c r="AJ97" s="123"/>
      <c r="AK97" s="123"/>
      <c r="AL97" s="123"/>
      <c r="AM97" s="123"/>
      <c r="AN97" s="118"/>
    </row>
    <row r="98" spans="1:52">
      <c r="A98" s="217" t="s">
        <v>145</v>
      </c>
      <c r="C98" s="116" t="s">
        <v>149</v>
      </c>
      <c r="G98" s="218" t="s">
        <v>13</v>
      </c>
      <c r="H98" s="218"/>
      <c r="I98" s="218"/>
      <c r="J98" s="218"/>
      <c r="L98" s="123"/>
      <c r="S98" s="219">
        <v>27.000499999999999</v>
      </c>
      <c r="T98" s="219"/>
      <c r="U98" s="219"/>
      <c r="V98" s="118">
        <v>1826.8482485022037</v>
      </c>
      <c r="W98" s="118"/>
      <c r="X98" s="118"/>
      <c r="Y98" s="118"/>
      <c r="Z98" s="118"/>
      <c r="AA98" s="118"/>
      <c r="AB98" s="118">
        <v>15.94966955273453</v>
      </c>
      <c r="AC98" s="118"/>
      <c r="AD98" s="118">
        <v>0</v>
      </c>
      <c r="AE98" s="118"/>
      <c r="AF98" s="118"/>
      <c r="AG98" s="118"/>
      <c r="AH98" s="123"/>
      <c r="AI98" s="123"/>
      <c r="AJ98" s="123"/>
      <c r="AK98" s="123"/>
      <c r="AL98" s="123"/>
      <c r="AM98" s="123"/>
      <c r="AN98" s="118"/>
    </row>
    <row r="99" spans="1:52">
      <c r="A99" s="217" t="s">
        <v>145</v>
      </c>
      <c r="C99" s="116" t="s">
        <v>149</v>
      </c>
      <c r="G99" s="218" t="s">
        <v>13</v>
      </c>
      <c r="H99" s="218"/>
      <c r="I99" s="218"/>
      <c r="J99" s="218"/>
      <c r="L99" s="123"/>
      <c r="S99" s="219">
        <v>32.337400000000002</v>
      </c>
      <c r="T99" s="219"/>
      <c r="U99" s="219"/>
      <c r="V99" s="118">
        <v>1826.8482485022037</v>
      </c>
      <c r="W99" s="118"/>
      <c r="X99" s="118"/>
      <c r="Y99" s="118"/>
      <c r="Z99" s="118"/>
      <c r="AA99" s="118"/>
      <c r="AB99" s="118">
        <v>18.526806363767623</v>
      </c>
      <c r="AC99" s="118"/>
      <c r="AD99" s="118">
        <v>0</v>
      </c>
      <c r="AE99" s="118"/>
      <c r="AF99" s="118"/>
      <c r="AG99" s="118"/>
      <c r="AH99" s="123"/>
      <c r="AI99" s="123"/>
      <c r="AJ99" s="123"/>
      <c r="AK99" s="123"/>
      <c r="AL99" s="123"/>
      <c r="AM99" s="123"/>
      <c r="AN99" s="118"/>
    </row>
    <row r="100" spans="1:52">
      <c r="A100" s="217" t="s">
        <v>145</v>
      </c>
      <c r="C100" s="116" t="s">
        <v>149</v>
      </c>
      <c r="G100" s="218" t="s">
        <v>13</v>
      </c>
      <c r="H100" s="218"/>
      <c r="I100" s="218"/>
      <c r="J100" s="218"/>
      <c r="L100" s="123"/>
      <c r="S100" s="219">
        <v>37.862499999999997</v>
      </c>
      <c r="T100" s="219"/>
      <c r="U100" s="219"/>
      <c r="V100" s="118">
        <v>1826.8482485022037</v>
      </c>
      <c r="W100" s="118"/>
      <c r="X100" s="118"/>
      <c r="Y100" s="118"/>
      <c r="Z100" s="118"/>
      <c r="AA100" s="118"/>
      <c r="AB100" s="118">
        <v>21.738888502522336</v>
      </c>
      <c r="AC100" s="118"/>
      <c r="AD100" s="118">
        <v>0</v>
      </c>
      <c r="AE100" s="118"/>
      <c r="AF100" s="118"/>
      <c r="AG100" s="118"/>
      <c r="AH100" s="123"/>
      <c r="AI100" s="123"/>
      <c r="AJ100" s="123"/>
      <c r="AK100" s="123"/>
      <c r="AL100" s="123"/>
      <c r="AM100" s="123"/>
      <c r="AN100" s="118"/>
    </row>
    <row r="101" spans="1:52">
      <c r="A101" s="217" t="s">
        <v>145</v>
      </c>
      <c r="C101" s="116" t="s">
        <v>149</v>
      </c>
      <c r="G101" s="218" t="s">
        <v>13</v>
      </c>
      <c r="H101" s="218"/>
      <c r="I101" s="218"/>
      <c r="J101" s="218"/>
      <c r="L101" s="123"/>
      <c r="S101" s="219">
        <v>60.846899999999998</v>
      </c>
      <c r="T101" s="219"/>
      <c r="U101" s="219"/>
      <c r="V101" s="118">
        <v>1826.8482485022037</v>
      </c>
      <c r="W101" s="118"/>
      <c r="X101" s="118"/>
      <c r="Y101" s="118"/>
      <c r="Z101" s="118"/>
      <c r="AA101" s="118"/>
      <c r="AB101" s="118">
        <v>33.010873856217302</v>
      </c>
      <c r="AC101" s="118"/>
      <c r="AD101" s="118">
        <v>0</v>
      </c>
      <c r="AE101" s="118"/>
      <c r="AF101" s="118"/>
      <c r="AG101" s="118"/>
      <c r="AH101" s="123"/>
      <c r="AI101" s="123"/>
      <c r="AJ101" s="123"/>
      <c r="AK101" s="123"/>
      <c r="AL101" s="123"/>
      <c r="AM101" s="123"/>
      <c r="AN101" s="118"/>
    </row>
    <row r="102" spans="1:52">
      <c r="A102" s="217"/>
      <c r="G102" s="218"/>
      <c r="H102" s="218"/>
      <c r="I102" s="218"/>
      <c r="J102" s="218"/>
      <c r="L102" s="123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23"/>
      <c r="AI102" s="123"/>
      <c r="AJ102" s="123"/>
      <c r="AK102" s="123"/>
      <c r="AL102" s="123"/>
      <c r="AM102" s="123"/>
      <c r="AN102" s="118"/>
    </row>
    <row r="103" spans="1:52" s="220" customFormat="1" ht="79.2">
      <c r="E103" s="221" t="s">
        <v>102</v>
      </c>
      <c r="F103" s="221"/>
      <c r="G103" s="220" t="s">
        <v>4</v>
      </c>
      <c r="H103" s="220" t="s">
        <v>103</v>
      </c>
      <c r="L103" s="123"/>
      <c r="M103" s="172" t="s">
        <v>107</v>
      </c>
      <c r="N103" s="172" t="s">
        <v>104</v>
      </c>
      <c r="O103" s="172" t="s">
        <v>105</v>
      </c>
      <c r="R103" s="186" t="s">
        <v>110</v>
      </c>
      <c r="S103" s="172" t="s">
        <v>111</v>
      </c>
      <c r="T103" s="172"/>
      <c r="U103" s="172"/>
      <c r="V103" s="172"/>
      <c r="W103" s="172"/>
      <c r="X103" s="172"/>
      <c r="Y103" s="172"/>
      <c r="Z103" s="172" t="s">
        <v>108</v>
      </c>
      <c r="AA103" s="172" t="s">
        <v>116</v>
      </c>
      <c r="AB103" s="172" t="s">
        <v>109</v>
      </c>
      <c r="AC103" s="172" t="s">
        <v>115</v>
      </c>
      <c r="AD103" s="172" t="s">
        <v>106</v>
      </c>
      <c r="AE103" s="222" t="s">
        <v>117</v>
      </c>
      <c r="AF103" s="222"/>
      <c r="AG103" s="118"/>
      <c r="AH103" s="172"/>
      <c r="AI103" s="172"/>
      <c r="AJ103" s="172"/>
      <c r="AK103" s="123"/>
      <c r="AL103" s="123"/>
      <c r="AM103" s="123"/>
      <c r="AN103" s="118"/>
      <c r="AO103" s="223"/>
      <c r="AP103" s="172"/>
      <c r="AQ103" s="272"/>
      <c r="AR103" s="273"/>
      <c r="AS103" s="273"/>
      <c r="AT103" s="273"/>
      <c r="AU103" s="273"/>
      <c r="AV103" s="273"/>
      <c r="AW103" s="273"/>
      <c r="AX103" s="273"/>
      <c r="AY103" s="273"/>
      <c r="AZ103" s="273"/>
    </row>
    <row r="104" spans="1:52">
      <c r="E104" s="213"/>
      <c r="F104" s="213"/>
      <c r="G104" s="116" t="s">
        <v>112</v>
      </c>
      <c r="H104" s="116"/>
      <c r="L104" s="123"/>
      <c r="N104" s="171" t="s">
        <v>113</v>
      </c>
      <c r="R104" s="118"/>
      <c r="AB104" s="171"/>
      <c r="AG104" s="118"/>
      <c r="AK104" s="123"/>
      <c r="AL104" s="123"/>
      <c r="AM104" s="123"/>
      <c r="AN104" s="118"/>
    </row>
    <row r="105" spans="1:52">
      <c r="E105" s="213">
        <v>37</v>
      </c>
      <c r="F105" s="213"/>
      <c r="G105" s="116" t="s">
        <v>19</v>
      </c>
      <c r="H105" s="116">
        <v>1.6002000000000001</v>
      </c>
      <c r="L105" s="123"/>
      <c r="M105" s="171">
        <v>125</v>
      </c>
      <c r="N105" s="171">
        <v>47</v>
      </c>
      <c r="O105" s="171">
        <v>98</v>
      </c>
      <c r="R105" s="118">
        <v>828.24</v>
      </c>
      <c r="S105" s="171">
        <v>34.883987418315407</v>
      </c>
      <c r="Z105" s="171">
        <v>60.117302052785924</v>
      </c>
      <c r="AA105" s="171">
        <v>45.087976539589441</v>
      </c>
      <c r="AB105" s="171">
        <v>1.6007248214500989</v>
      </c>
      <c r="AC105" s="171">
        <v>1.3101424611445887</v>
      </c>
      <c r="AD105" s="171">
        <v>38.271753478594235</v>
      </c>
      <c r="AE105" s="171">
        <v>49.820699187637089</v>
      </c>
      <c r="AG105" s="118">
        <f t="shared" ref="AG105:AG119" si="31">AD105/(Z105/(PI()/4*((H105/10)^2)*60))</f>
        <v>0.76818981071408365</v>
      </c>
      <c r="AH105" s="123">
        <f>(AE105/100)*Reference!$L$23*(H105/1000)/(Reference!$W$20)</f>
        <v>25.429404068539153</v>
      </c>
      <c r="AI105" s="123"/>
      <c r="AJ105" s="123">
        <f>(AE105/100)*Reference!$L$23*(H105/1000)/(Reference!$P$20)</f>
        <v>124.45856848873622</v>
      </c>
      <c r="AK105" s="123">
        <f>AH105/Reference!$R$22</f>
        <v>399.00527315224934</v>
      </c>
      <c r="AL105" s="123"/>
      <c r="AM105" s="123"/>
      <c r="AN105" s="118">
        <f t="shared" ref="AN105:AN119" si="32">S105/H105</f>
        <v>21.799767165551433</v>
      </c>
    </row>
    <row r="106" spans="1:52">
      <c r="E106" s="213">
        <v>39</v>
      </c>
      <c r="F106" s="213"/>
      <c r="G106" s="116" t="s">
        <v>19</v>
      </c>
      <c r="H106" s="116">
        <v>1.6002000000000001</v>
      </c>
      <c r="L106" s="123"/>
      <c r="M106" s="171">
        <v>146</v>
      </c>
      <c r="N106" s="171">
        <v>67</v>
      </c>
      <c r="O106" s="171">
        <v>131</v>
      </c>
      <c r="R106" s="171">
        <v>928.7</v>
      </c>
      <c r="S106" s="171">
        <v>39.115182936575778</v>
      </c>
      <c r="Z106" s="171">
        <v>70.217008797653961</v>
      </c>
      <c r="AA106" s="171">
        <v>52.66275659824047</v>
      </c>
      <c r="AB106" s="171">
        <v>1.8696465914537155</v>
      </c>
      <c r="AC106" s="171">
        <v>1.5302463946168798</v>
      </c>
      <c r="AD106" s="171">
        <v>57.076061168772782</v>
      </c>
      <c r="AE106" s="171">
        <v>58.190576651160121</v>
      </c>
      <c r="AG106" s="118">
        <f t="shared" si="31"/>
        <v>0.98084714834381825</v>
      </c>
      <c r="AH106" s="123">
        <f>(AE106/100)*Reference!$L$23*(H106/1000)/(Reference!$W$20)</f>
        <v>29.701543952053726</v>
      </c>
      <c r="AI106" s="123"/>
      <c r="AJ106" s="123">
        <f>(AE106/100)*Reference!$L$23*(H106/1000)/(Reference!$P$20)</f>
        <v>145.36760799484389</v>
      </c>
      <c r="AK106" s="123">
        <f>AH106/Reference!$R$22</f>
        <v>466.03815904182716</v>
      </c>
      <c r="AL106" s="123"/>
      <c r="AM106" s="123"/>
      <c r="AN106" s="118">
        <f t="shared" si="32"/>
        <v>24.443933843629406</v>
      </c>
    </row>
    <row r="107" spans="1:52">
      <c r="E107" s="213">
        <v>41</v>
      </c>
      <c r="F107" s="213"/>
      <c r="G107" s="116" t="s">
        <v>19</v>
      </c>
      <c r="H107" s="116">
        <v>1.6002000000000001</v>
      </c>
      <c r="L107" s="123"/>
      <c r="M107" s="171">
        <v>102</v>
      </c>
      <c r="N107" s="171">
        <v>26</v>
      </c>
      <c r="O107" s="171">
        <v>65</v>
      </c>
      <c r="R107" s="171">
        <v>696.14</v>
      </c>
      <c r="S107" s="171">
        <v>29.320171691038933</v>
      </c>
      <c r="Z107" s="171">
        <v>49.055718475073313</v>
      </c>
      <c r="AA107" s="171">
        <v>36.791788856304983</v>
      </c>
      <c r="AB107" s="171">
        <v>1.3061914543032807</v>
      </c>
      <c r="AC107" s="171">
        <v>1.0690762482939844</v>
      </c>
      <c r="AD107" s="171">
        <v>18.527230403906753</v>
      </c>
      <c r="AE107" s="171">
        <v>40.653690537111871</v>
      </c>
      <c r="AG107" s="118">
        <f t="shared" si="31"/>
        <v>0.45573305053310353</v>
      </c>
      <c r="AH107" s="123">
        <f>(AE107/100)*Reference!$L$23*(H107/1000)/(Reference!$W$20)</f>
        <v>20.750393719927949</v>
      </c>
      <c r="AI107" s="123"/>
      <c r="AJ107" s="123">
        <f>(AE107/100)*Reference!$L$23*(H107/1000)/(Reference!$P$20)</f>
        <v>101.55819188680876</v>
      </c>
      <c r="AK107" s="123">
        <f>AH107/Reference!$R$22</f>
        <v>325.58830289223545</v>
      </c>
      <c r="AL107" s="123"/>
      <c r="AM107" s="123"/>
      <c r="AN107" s="118">
        <f t="shared" si="32"/>
        <v>18.322816954779984</v>
      </c>
    </row>
    <row r="108" spans="1:52">
      <c r="E108" s="213">
        <v>43</v>
      </c>
      <c r="F108" s="213"/>
      <c r="G108" s="116" t="s">
        <v>19</v>
      </c>
      <c r="H108" s="116">
        <v>0.76400000000000001</v>
      </c>
      <c r="L108" s="123"/>
      <c r="M108" s="171">
        <v>188</v>
      </c>
      <c r="N108" s="171">
        <v>47</v>
      </c>
      <c r="O108" s="171">
        <v>98</v>
      </c>
      <c r="R108" s="171">
        <v>1330.8</v>
      </c>
      <c r="S108" s="171">
        <v>56.050915744583868</v>
      </c>
      <c r="Z108" s="171">
        <v>90.416422287390034</v>
      </c>
      <c r="AA108" s="171">
        <v>67.812316715542522</v>
      </c>
      <c r="AB108" s="171">
        <v>2.4074901314609489</v>
      </c>
      <c r="AC108" s="171">
        <v>1.9704542615614618</v>
      </c>
      <c r="AD108" s="171">
        <v>38.271753478594235</v>
      </c>
      <c r="AE108" s="171">
        <v>328.71495992713875</v>
      </c>
      <c r="AG108" s="118">
        <f t="shared" si="31"/>
        <v>0.11642838977294295</v>
      </c>
      <c r="AH108" s="123">
        <f>(AE108/100)*Reference!$L$23*(H108/1000)/(Reference!$W$20)</f>
        <v>80.105977899576487</v>
      </c>
      <c r="AI108" s="123"/>
      <c r="AJ108" s="123">
        <f>(AE108/100)*Reference!$L$23*(H108/1000)/(Reference!$P$20)</f>
        <v>392.06091145117313</v>
      </c>
      <c r="AK108" s="123">
        <f>AH108/Reference!$R$22</f>
        <v>1256.9192540572474</v>
      </c>
      <c r="AL108" s="123"/>
      <c r="AM108" s="123"/>
      <c r="AN108" s="118">
        <f t="shared" si="32"/>
        <v>73.365072964115015</v>
      </c>
    </row>
    <row r="109" spans="1:52">
      <c r="E109" s="213">
        <v>47</v>
      </c>
      <c r="F109" s="213"/>
      <c r="G109" s="116" t="s">
        <v>19</v>
      </c>
      <c r="H109" s="116">
        <v>0.76400000000000001</v>
      </c>
      <c r="L109" s="123"/>
      <c r="M109" s="171">
        <v>168</v>
      </c>
      <c r="N109" s="171">
        <v>26</v>
      </c>
      <c r="O109" s="171">
        <v>65</v>
      </c>
      <c r="R109" s="171">
        <v>1250</v>
      </c>
      <c r="S109" s="171">
        <v>52.647764262646405</v>
      </c>
      <c r="Z109" s="171">
        <v>80.797653958944281</v>
      </c>
      <c r="AA109" s="171">
        <v>60.598240469208207</v>
      </c>
      <c r="AB109" s="171">
        <v>2.1513741600289329</v>
      </c>
      <c r="AC109" s="171">
        <v>1.7608314677783274</v>
      </c>
      <c r="AD109" s="171">
        <v>18.527230403906753</v>
      </c>
      <c r="AE109" s="171">
        <v>293.74528333914526</v>
      </c>
      <c r="AG109" s="118">
        <f t="shared" si="31"/>
        <v>6.3072435387893658E-2</v>
      </c>
      <c r="AH109" s="123">
        <f>(AE109/100)*Reference!$L$23*(H109/1000)/(Reference!$W$20)</f>
        <v>71.584065357068354</v>
      </c>
      <c r="AI109" s="123"/>
      <c r="AJ109" s="123">
        <f>(AE109/100)*Reference!$L$23*(H109/1000)/(Reference!$P$20)</f>
        <v>350.35230384998448</v>
      </c>
      <c r="AK109" s="123">
        <f>AH109/Reference!$R$22</f>
        <v>1123.2044397958382</v>
      </c>
      <c r="AL109" s="123"/>
      <c r="AM109" s="123"/>
      <c r="AN109" s="118">
        <f t="shared" si="32"/>
        <v>68.910686207652361</v>
      </c>
    </row>
    <row r="110" spans="1:52">
      <c r="E110" s="213">
        <v>55</v>
      </c>
      <c r="F110" s="213"/>
      <c r="G110" s="116" t="s">
        <v>23</v>
      </c>
      <c r="H110" s="116">
        <v>1.6002000000000001</v>
      </c>
      <c r="L110" s="123"/>
      <c r="M110" s="171">
        <v>218</v>
      </c>
      <c r="N110" s="171">
        <v>48</v>
      </c>
      <c r="O110" s="171">
        <v>98</v>
      </c>
      <c r="R110" s="171">
        <v>1158.5</v>
      </c>
      <c r="S110" s="171">
        <v>48.793947918620688</v>
      </c>
      <c r="Z110" s="171">
        <v>126.78014184397165</v>
      </c>
      <c r="AA110" s="171">
        <v>63.390070921985824</v>
      </c>
      <c r="AB110" s="171">
        <v>3.0675613196735596</v>
      </c>
      <c r="AC110" s="171">
        <v>1.8419549934102404</v>
      </c>
      <c r="AD110" s="171">
        <v>39.211968863103159</v>
      </c>
      <c r="AE110" s="171">
        <v>105.06584783576075</v>
      </c>
      <c r="AG110" s="118">
        <f t="shared" si="31"/>
        <v>0.3732132721605162</v>
      </c>
      <c r="AH110" s="123">
        <f>(AE110/100)*Reference!$L$24*(H110/1000)/(Reference!$W$24)</f>
        <v>49.674019832463209</v>
      </c>
      <c r="AI110" s="123"/>
      <c r="AJ110" s="123">
        <f>(AE110/100)*Reference!$L$24*(H110/1000)/(Reference!$P$24)</f>
        <v>192.48847972376029</v>
      </c>
      <c r="AK110" s="123">
        <f>AH110/Reference!$R$22</f>
        <v>779.42038273494029</v>
      </c>
      <c r="AL110" s="123"/>
      <c r="AM110" s="123"/>
      <c r="AN110" s="118">
        <f t="shared" si="32"/>
        <v>30.49240589840063</v>
      </c>
    </row>
    <row r="111" spans="1:52">
      <c r="E111" s="213">
        <v>57</v>
      </c>
      <c r="F111" s="213"/>
      <c r="G111" s="116" t="s">
        <v>23</v>
      </c>
      <c r="H111" s="116">
        <v>1.6002000000000001</v>
      </c>
      <c r="L111" s="123"/>
      <c r="M111" s="171">
        <v>256</v>
      </c>
      <c r="N111" s="171">
        <v>68</v>
      </c>
      <c r="O111" s="171">
        <v>131</v>
      </c>
      <c r="R111" s="171">
        <v>1310.0999999999999</v>
      </c>
      <c r="S111" s="171">
        <v>55.179068768394437</v>
      </c>
      <c r="Z111" s="171">
        <v>148.87943262411349</v>
      </c>
      <c r="AA111" s="171">
        <v>74.439716312056746</v>
      </c>
      <c r="AB111" s="171">
        <v>3.6022738432863819</v>
      </c>
      <c r="AC111" s="171">
        <v>2.1630297170322086</v>
      </c>
      <c r="AD111" s="171">
        <v>58.016276553281713</v>
      </c>
      <c r="AE111" s="171">
        <v>123.380078192453</v>
      </c>
      <c r="AG111" s="118">
        <f t="shared" si="31"/>
        <v>0.47022402160246396</v>
      </c>
      <c r="AH111" s="123">
        <f>(AE111/100)*Reference!$L$24*(H111/1000)/(Reference!$W$24)</f>
        <v>58.332793931699925</v>
      </c>
      <c r="AI111" s="123"/>
      <c r="AJ111" s="123">
        <f>(AE111/100)*Reference!$L$24*(H111/1000)/(Reference!$P$24)</f>
        <v>226.04151747377358</v>
      </c>
      <c r="AK111" s="123">
        <f>AH111/Reference!$R$22</f>
        <v>915.28265128506757</v>
      </c>
      <c r="AL111" s="123"/>
      <c r="AM111" s="123"/>
      <c r="AN111" s="118">
        <f t="shared" si="32"/>
        <v>34.482607654289737</v>
      </c>
    </row>
    <row r="112" spans="1:52">
      <c r="E112" s="213">
        <v>59</v>
      </c>
      <c r="F112" s="213"/>
      <c r="G112" s="116" t="s">
        <v>23</v>
      </c>
      <c r="H112" s="116">
        <v>1.6002000000000001</v>
      </c>
      <c r="L112" s="123"/>
      <c r="M112" s="171">
        <v>188</v>
      </c>
      <c r="N112" s="171">
        <v>27</v>
      </c>
      <c r="O112" s="171">
        <v>65</v>
      </c>
      <c r="R112" s="171">
        <v>1018</v>
      </c>
      <c r="S112" s="171">
        <v>42.876339215499229</v>
      </c>
      <c r="Z112" s="171">
        <v>109.33333333333334</v>
      </c>
      <c r="AA112" s="171">
        <v>54.666666666666671</v>
      </c>
      <c r="AB112" s="171">
        <v>2.6454198536634368</v>
      </c>
      <c r="AC112" s="171">
        <v>1.5884749484455283</v>
      </c>
      <c r="AD112" s="171">
        <v>19.467445788415681</v>
      </c>
      <c r="AE112" s="171">
        <v>90.607244922582666</v>
      </c>
      <c r="AG112" s="118">
        <f t="shared" si="31"/>
        <v>0.2148552889457041</v>
      </c>
      <c r="AH112" s="123">
        <f>(AE112/100)*Reference!$L$24*(H112/1000)/(Reference!$W$24)</f>
        <v>42.838145543592127</v>
      </c>
      <c r="AI112" s="123"/>
      <c r="AJ112" s="123">
        <f>(AE112/100)*Reference!$L$24*(H112/1000)/(Reference!$P$24)</f>
        <v>165.99923939480246</v>
      </c>
      <c r="AK112" s="123">
        <f>AH112/Reference!$R$22</f>
        <v>672.16069703747144</v>
      </c>
      <c r="AL112" s="123"/>
      <c r="AM112" s="123"/>
      <c r="AN112" s="118">
        <f t="shared" si="32"/>
        <v>26.794362714347724</v>
      </c>
    </row>
    <row r="113" spans="5:40">
      <c r="E113" s="213">
        <v>73</v>
      </c>
      <c r="F113" s="213"/>
      <c r="G113" s="116" t="s">
        <v>114</v>
      </c>
      <c r="H113" s="116">
        <v>1.6002000000000001</v>
      </c>
      <c r="L113" s="123"/>
      <c r="M113" s="171">
        <v>95</v>
      </c>
      <c r="N113" s="171">
        <v>51</v>
      </c>
      <c r="O113" s="171">
        <v>98</v>
      </c>
      <c r="R113" s="171">
        <v>706.16</v>
      </c>
      <c r="S113" s="171">
        <v>29.742196169368306</v>
      </c>
      <c r="Z113" s="171">
        <v>38.950000000000003</v>
      </c>
      <c r="AA113" s="171">
        <v>38.950000000000003</v>
      </c>
      <c r="AB113" s="171">
        <v>1.1317884007674388</v>
      </c>
      <c r="AC113" s="171">
        <v>1.1317884007674388</v>
      </c>
      <c r="AD113" s="171">
        <v>42.03261501662994</v>
      </c>
      <c r="AE113" s="171">
        <v>32.278831003670071</v>
      </c>
      <c r="AG113" s="118">
        <f t="shared" si="31"/>
        <v>1.302172777318078</v>
      </c>
      <c r="AH113" s="123">
        <f>(AE113/100)*Reference!$L$22*(H113/1000)/(Reference!$W$22)</f>
        <v>18.13403192867192</v>
      </c>
      <c r="AI113" s="123"/>
      <c r="AJ113" s="123">
        <f>(AE113/100)*Reference!$L$22*(H113/1000)/(Reference!$P$22)</f>
        <v>104.86057968390288</v>
      </c>
      <c r="AK113" s="123">
        <f>AH113/Reference!$R$22</f>
        <v>284.53574230640686</v>
      </c>
      <c r="AL113" s="123"/>
      <c r="AM113" s="123"/>
      <c r="AN113" s="118">
        <f t="shared" si="32"/>
        <v>18.586549287194291</v>
      </c>
    </row>
    <row r="114" spans="5:40">
      <c r="E114" s="213">
        <v>75</v>
      </c>
      <c r="F114" s="213"/>
      <c r="G114" s="116" t="s">
        <v>114</v>
      </c>
      <c r="H114" s="116">
        <v>1.6002000000000001</v>
      </c>
      <c r="L114" s="123"/>
      <c r="M114" s="171">
        <v>113</v>
      </c>
      <c r="N114" s="171">
        <v>70</v>
      </c>
      <c r="O114" s="171">
        <v>131</v>
      </c>
      <c r="R114" s="171">
        <v>836.4</v>
      </c>
      <c r="S114" s="171">
        <v>35.22767202342196</v>
      </c>
      <c r="Z114" s="171">
        <v>46.33</v>
      </c>
      <c r="AA114" s="171">
        <v>46.33</v>
      </c>
      <c r="AB114" s="171">
        <v>1.3462325188075852</v>
      </c>
      <c r="AC114" s="171">
        <v>1.3462325188075852</v>
      </c>
      <c r="AD114" s="171">
        <v>59.896707322299562</v>
      </c>
      <c r="AE114" s="171">
        <v>38.394820035944399</v>
      </c>
      <c r="AG114" s="118">
        <f t="shared" si="31"/>
        <v>1.5600205253267385</v>
      </c>
      <c r="AH114" s="123">
        <f>(AE114/100)*Reference!$L$22*(H114/1000)/(Reference!$W$22)</f>
        <v>21.5699537677887</v>
      </c>
      <c r="AI114" s="123"/>
      <c r="AJ114" s="123">
        <f>(AE114/100)*Reference!$L$22*(H114/1000)/(Reference!$P$22)</f>
        <v>124.7289000450634</v>
      </c>
      <c r="AK114" s="123">
        <f>AH114/Reference!$R$22</f>
        <v>338.44777769077859</v>
      </c>
      <c r="AL114" s="123"/>
      <c r="AM114" s="123"/>
      <c r="AN114" s="118">
        <f t="shared" si="32"/>
        <v>22.014543196739133</v>
      </c>
    </row>
    <row r="115" spans="5:40">
      <c r="E115" s="213">
        <v>77</v>
      </c>
      <c r="F115" s="213"/>
      <c r="G115" s="116" t="s">
        <v>114</v>
      </c>
      <c r="H115" s="116">
        <v>1.6002000000000001</v>
      </c>
      <c r="L115" s="123"/>
      <c r="M115" s="171">
        <v>75</v>
      </c>
      <c r="N115" s="171">
        <v>28</v>
      </c>
      <c r="O115" s="171">
        <v>65</v>
      </c>
      <c r="R115" s="171">
        <v>573.09</v>
      </c>
      <c r="S115" s="171">
        <v>24.137525777024024</v>
      </c>
      <c r="Z115" s="171">
        <v>30.75</v>
      </c>
      <c r="AA115" s="171">
        <v>30.75</v>
      </c>
      <c r="AB115" s="171">
        <v>0.89351715850060953</v>
      </c>
      <c r="AC115" s="171">
        <v>0.89351715850060953</v>
      </c>
      <c r="AD115" s="171">
        <v>20.407661172924605</v>
      </c>
      <c r="AE115" s="171">
        <v>25.483287634476369</v>
      </c>
      <c r="AG115" s="118">
        <f t="shared" si="31"/>
        <v>0.80082528854381618</v>
      </c>
      <c r="AH115" s="123">
        <f>(AE115/100)*Reference!$L$22*(H115/1000)/(Reference!$W$22)</f>
        <v>14.316340996319935</v>
      </c>
      <c r="AI115" s="123"/>
      <c r="AJ115" s="123">
        <f>(AE115/100)*Reference!$L$22*(H115/1000)/(Reference!$P$22)</f>
        <v>82.784668171502261</v>
      </c>
      <c r="AK115" s="123">
        <f>AH115/Reference!$R$22</f>
        <v>224.63348076821589</v>
      </c>
      <c r="AL115" s="123"/>
      <c r="AM115" s="123"/>
      <c r="AN115" s="118">
        <f t="shared" si="32"/>
        <v>15.084068102127249</v>
      </c>
    </row>
    <row r="116" spans="5:40">
      <c r="E116" s="213">
        <v>79</v>
      </c>
      <c r="F116" s="213"/>
      <c r="G116" s="116" t="s">
        <v>114</v>
      </c>
      <c r="H116" s="116">
        <v>0.76400000000000001</v>
      </c>
      <c r="L116" s="123"/>
      <c r="M116" s="171">
        <v>118</v>
      </c>
      <c r="N116" s="171">
        <v>48</v>
      </c>
      <c r="O116" s="171">
        <v>98</v>
      </c>
      <c r="R116" s="171">
        <v>926.49</v>
      </c>
      <c r="S116" s="171">
        <v>39.022101689359417</v>
      </c>
      <c r="Z116" s="171">
        <v>48.38</v>
      </c>
      <c r="AA116" s="171">
        <v>48.38</v>
      </c>
      <c r="AB116" s="171">
        <v>1.4058003293742922</v>
      </c>
      <c r="AC116" s="171">
        <v>1.4058003293742922</v>
      </c>
      <c r="AD116" s="171">
        <v>39.211968863103159</v>
      </c>
      <c r="AE116" s="171">
        <v>175.8887308184602</v>
      </c>
      <c r="AG116" s="118">
        <f t="shared" si="31"/>
        <v>0.22293622041980021</v>
      </c>
      <c r="AH116" s="123">
        <f>(AE116/100)*Reference!$L$22*(H116/1000)/(Reference!$W$22)</f>
        <v>47.177365545422639</v>
      </c>
      <c r="AI116" s="123"/>
      <c r="AJ116" s="123">
        <f>(AE116/100)*Reference!$L$22*(H116/1000)/(Reference!$P$22)</f>
        <v>272.80452127309729</v>
      </c>
      <c r="AK116" s="123">
        <f>AH116/Reference!$R$22</f>
        <v>740.24611726326873</v>
      </c>
      <c r="AL116" s="123"/>
      <c r="AM116" s="123"/>
      <c r="AN116" s="118">
        <f t="shared" si="32"/>
        <v>51.076049331622272</v>
      </c>
    </row>
    <row r="117" spans="5:40">
      <c r="E117" s="213">
        <v>81</v>
      </c>
      <c r="F117" s="213"/>
      <c r="G117" s="116" t="s">
        <v>114</v>
      </c>
      <c r="H117" s="116">
        <v>0.76400000000000001</v>
      </c>
      <c r="L117" s="123"/>
      <c r="M117" s="171">
        <v>135</v>
      </c>
      <c r="N117" s="171">
        <v>65</v>
      </c>
      <c r="O117" s="171">
        <v>131</v>
      </c>
      <c r="R117" s="171">
        <v>1010.75</v>
      </c>
      <c r="S117" s="171">
        <v>42.570982182775886</v>
      </c>
      <c r="Z117" s="171">
        <v>55.35</v>
      </c>
      <c r="AA117" s="171">
        <v>55.35</v>
      </c>
      <c r="AB117" s="171">
        <v>1.6083308853010971</v>
      </c>
      <c r="AC117" s="171">
        <v>1.6083308853010971</v>
      </c>
      <c r="AD117" s="171">
        <v>55.195630399754926</v>
      </c>
      <c r="AE117" s="171">
        <v>201.22863271603498</v>
      </c>
      <c r="AG117" s="118">
        <f t="shared" si="31"/>
        <v>0.27429312446626108</v>
      </c>
      <c r="AH117" s="123">
        <f>(AE117/100)*Reference!$L$22*(H117/1000)/(Reference!$W$22)</f>
        <v>53.974104649424213</v>
      </c>
      <c r="AI117" s="123"/>
      <c r="AJ117" s="123">
        <f>(AE117/100)*Reference!$L$22*(H117/1000)/(Reference!$P$22)</f>
        <v>312.10686755820461</v>
      </c>
      <c r="AK117" s="123">
        <f>AH117/Reference!$R$22</f>
        <v>846.89174432662105</v>
      </c>
      <c r="AL117" s="123"/>
      <c r="AM117" s="123"/>
      <c r="AN117" s="118">
        <f t="shared" si="32"/>
        <v>55.721180867507705</v>
      </c>
    </row>
    <row r="118" spans="5:40">
      <c r="E118" s="213">
        <v>83</v>
      </c>
      <c r="F118" s="213"/>
      <c r="G118" s="116" t="s">
        <v>114</v>
      </c>
      <c r="H118" s="116">
        <v>0.76400000000000001</v>
      </c>
      <c r="L118" s="123"/>
      <c r="M118" s="171">
        <v>101</v>
      </c>
      <c r="N118" s="171">
        <v>26</v>
      </c>
      <c r="O118" s="171">
        <v>65</v>
      </c>
      <c r="R118" s="171">
        <v>818</v>
      </c>
      <c r="S118" s="171">
        <v>34.452696933475806</v>
      </c>
      <c r="Z118" s="171">
        <v>41.41</v>
      </c>
      <c r="AA118" s="171">
        <v>41.41</v>
      </c>
      <c r="AB118" s="171">
        <v>1.2032697734474875</v>
      </c>
      <c r="AC118" s="171">
        <v>1.2032697734474875</v>
      </c>
      <c r="AD118" s="171">
        <v>18.527230403906753</v>
      </c>
      <c r="AE118" s="171">
        <v>150.54882892088546</v>
      </c>
      <c r="AG118" s="118">
        <f t="shared" si="31"/>
        <v>0.12306459330642124</v>
      </c>
      <c r="AH118" s="123">
        <f>(AE118/100)*Reference!$L$22*(H118/1000)/(Reference!$W$22)</f>
        <v>40.380626441421079</v>
      </c>
      <c r="AI118" s="123"/>
      <c r="AJ118" s="123">
        <f>(AE118/100)*Reference!$L$22*(H118/1000)/(Reference!$P$22)</f>
        <v>233.50217498799009</v>
      </c>
      <c r="AK118" s="123">
        <f>AH118/Reference!$R$22</f>
        <v>633.60049019991652</v>
      </c>
      <c r="AL118" s="123"/>
      <c r="AM118" s="123"/>
      <c r="AN118" s="118">
        <f t="shared" si="32"/>
        <v>45.095153054287707</v>
      </c>
    </row>
    <row r="119" spans="5:40">
      <c r="E119" s="213">
        <v>89</v>
      </c>
      <c r="F119" s="213"/>
      <c r="G119" s="116" t="s">
        <v>114</v>
      </c>
      <c r="H119" s="116">
        <v>0.40639999999999998</v>
      </c>
      <c r="L119" s="123"/>
      <c r="M119" s="171">
        <v>228</v>
      </c>
      <c r="N119" s="171">
        <v>28</v>
      </c>
      <c r="O119" s="171">
        <v>65</v>
      </c>
      <c r="R119" s="171">
        <v>2012.5</v>
      </c>
      <c r="S119" s="171">
        <v>84.762900462860713</v>
      </c>
      <c r="Z119" s="171">
        <v>93.48</v>
      </c>
      <c r="AA119" s="171">
        <v>93.48</v>
      </c>
      <c r="AB119" s="171">
        <v>2.716292161841853</v>
      </c>
      <c r="AC119" s="171">
        <v>2.716292161841853</v>
      </c>
      <c r="AD119" s="171">
        <v>20.407661172924605</v>
      </c>
      <c r="AE119" s="171">
        <v>1201.0751273771864</v>
      </c>
      <c r="AG119" s="118">
        <f t="shared" si="31"/>
        <v>1.6991161258571103E-2</v>
      </c>
      <c r="AH119" s="123">
        <f>(AE119/100)*Reference!$L$22*(H119/1000)/(Reference!$W$22)</f>
        <v>171.36660172594969</v>
      </c>
      <c r="AI119" s="123"/>
      <c r="AJ119" s="123">
        <f>(AE119/100)*Reference!$L$22*(H119/1000)/(Reference!$P$22)</f>
        <v>990.93247801288248</v>
      </c>
      <c r="AK119" s="123">
        <f>AH119/Reference!$R$22</f>
        <v>2688.8627647955454</v>
      </c>
      <c r="AL119" s="123"/>
      <c r="AM119" s="123"/>
      <c r="AN119" s="118">
        <f t="shared" si="32"/>
        <v>208.57012909168483</v>
      </c>
    </row>
    <row r="144" spans="41:41">
      <c r="AO144" s="216"/>
    </row>
    <row r="151" spans="41:41">
      <c r="AO151" s="216"/>
    </row>
    <row r="160" spans="41:41">
      <c r="AO160" s="216"/>
    </row>
    <row r="164" spans="41:41">
      <c r="AO164" s="216"/>
    </row>
    <row r="188" spans="41:41">
      <c r="AO188" s="175"/>
    </row>
    <row r="192" spans="41:41">
      <c r="AO192" s="175"/>
    </row>
    <row r="193" spans="41:41">
      <c r="AO193" s="175"/>
    </row>
    <row r="197" spans="41:41">
      <c r="AO197" s="175"/>
    </row>
    <row r="198" spans="41:41">
      <c r="AO198" s="175"/>
    </row>
    <row r="202" spans="41:41">
      <c r="AO202" s="175"/>
    </row>
    <row r="203" spans="41:41">
      <c r="AO203" s="175"/>
    </row>
    <row r="224" spans="41:41">
      <c r="AO224" s="175"/>
    </row>
    <row r="225" spans="41:41">
      <c r="AO225" s="175"/>
    </row>
    <row r="239" spans="41:41">
      <c r="AO239" s="175"/>
    </row>
    <row r="241" spans="41:41">
      <c r="AO241" s="175"/>
    </row>
    <row r="300" spans="41:41">
      <c r="AO300" s="118"/>
    </row>
    <row r="301" spans="41:41">
      <c r="AO301" s="118"/>
    </row>
    <row r="302" spans="41:41">
      <c r="AO302" s="118"/>
    </row>
    <row r="303" spans="41:41">
      <c r="AO303" s="118"/>
    </row>
    <row r="304" spans="41:41">
      <c r="AO304" s="118"/>
    </row>
    <row r="305" spans="41:41">
      <c r="AO305" s="118"/>
    </row>
    <row r="306" spans="41:41">
      <c r="AO306" s="118"/>
    </row>
    <row r="307" spans="41:41">
      <c r="AO307" s="118"/>
    </row>
    <row r="308" spans="41:41">
      <c r="AO308" s="118"/>
    </row>
    <row r="309" spans="41:41">
      <c r="AO309" s="118"/>
    </row>
    <row r="310" spans="41:41">
      <c r="AO310" s="118"/>
    </row>
  </sheetData>
  <mergeCells count="1">
    <mergeCell ref="AR2:BB2"/>
  </mergeCells>
  <phoneticPr fontId="2" type="noConversion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topLeftCell="G1" workbookViewId="0">
      <selection activeCell="S22" sqref="S22"/>
    </sheetView>
  </sheetViews>
  <sheetFormatPr defaultColWidth="9.109375" defaultRowHeight="13.2"/>
  <cols>
    <col min="1" max="10" width="9.109375" style="1"/>
    <col min="11" max="11" width="14" style="1" customWidth="1"/>
    <col min="12" max="12" width="13.88671875" style="1" customWidth="1"/>
    <col min="13" max="13" width="11" style="1" customWidth="1"/>
    <col min="14" max="16384" width="9.109375" style="1"/>
  </cols>
  <sheetData>
    <row r="1" spans="1:25">
      <c r="A1" s="1" t="s">
        <v>0</v>
      </c>
      <c r="J1" s="2"/>
      <c r="K1" s="3"/>
      <c r="L1" s="3"/>
      <c r="M1" s="3"/>
      <c r="N1" s="3"/>
      <c r="O1" s="4"/>
    </row>
    <row r="2" spans="1:25">
      <c r="A2" s="1" t="s">
        <v>1</v>
      </c>
      <c r="J2" s="2"/>
      <c r="K2" s="3" t="s">
        <v>2</v>
      </c>
      <c r="L2" s="3"/>
      <c r="M2" s="3"/>
      <c r="N2" s="3"/>
      <c r="O2" s="4"/>
    </row>
    <row r="3" spans="1:25">
      <c r="J3" s="5"/>
      <c r="K3" s="6"/>
      <c r="L3" s="6"/>
      <c r="M3" s="6"/>
      <c r="N3" s="6"/>
      <c r="O3" s="7"/>
      <c r="S3" s="117">
        <v>9.8820000000000002E-3</v>
      </c>
    </row>
    <row r="4" spans="1:25">
      <c r="A4" s="1" t="s">
        <v>3</v>
      </c>
      <c r="J4" s="5"/>
      <c r="K4" s="6" t="s">
        <v>4</v>
      </c>
      <c r="L4" s="6" t="s">
        <v>5</v>
      </c>
      <c r="M4" s="6" t="s">
        <v>6</v>
      </c>
      <c r="N4" s="6" t="s">
        <v>7</v>
      </c>
      <c r="O4" s="7"/>
      <c r="S4" s="117">
        <v>8.1340000000000006E-3</v>
      </c>
    </row>
    <row r="5" spans="1:25">
      <c r="A5" s="1" t="s">
        <v>8</v>
      </c>
      <c r="J5" s="5"/>
      <c r="K5" s="6" t="s">
        <v>9</v>
      </c>
      <c r="L5" s="6">
        <v>0.6</v>
      </c>
      <c r="M5" s="6" t="s">
        <v>10</v>
      </c>
      <c r="N5" s="6">
        <v>28.053999999999998</v>
      </c>
      <c r="O5" s="7"/>
      <c r="S5" s="117">
        <v>8.4880000000000008E-3</v>
      </c>
    </row>
    <row r="6" spans="1:25">
      <c r="A6" s="1" t="s">
        <v>11</v>
      </c>
      <c r="H6" s="1" t="s">
        <v>12</v>
      </c>
      <c r="J6" s="5"/>
      <c r="K6" s="6" t="s">
        <v>13</v>
      </c>
      <c r="L6" s="6">
        <v>0.36</v>
      </c>
      <c r="M6" s="6" t="s">
        <v>14</v>
      </c>
      <c r="N6" s="6">
        <v>44.094000000000001</v>
      </c>
      <c r="O6" s="7"/>
      <c r="S6" s="117">
        <v>1.013E-2</v>
      </c>
    </row>
    <row r="7" spans="1:25">
      <c r="A7" s="1" t="s">
        <v>15</v>
      </c>
      <c r="H7" s="1" t="s">
        <v>16</v>
      </c>
      <c r="J7" s="5"/>
      <c r="K7" s="6" t="s">
        <v>17</v>
      </c>
      <c r="L7" s="6">
        <v>0.41</v>
      </c>
      <c r="M7" s="6" t="s">
        <v>18</v>
      </c>
      <c r="N7" s="6">
        <v>42.081000000000003</v>
      </c>
      <c r="O7" s="7"/>
      <c r="S7" s="117">
        <v>1.2070000000000001E-2</v>
      </c>
    </row>
    <row r="8" spans="1:25">
      <c r="J8" s="5"/>
      <c r="K8" s="6" t="s">
        <v>19</v>
      </c>
      <c r="L8" s="6">
        <f>1/(0.25/1+0.75/$L$7)</f>
        <v>0.48093841642228741</v>
      </c>
      <c r="M8" s="6" t="s">
        <v>20</v>
      </c>
      <c r="N8" s="6">
        <f>0.75*$N$7+0.25*28</f>
        <v>38.560749999999999</v>
      </c>
      <c r="O8" s="7"/>
      <c r="S8" s="117">
        <v>1.073E-2</v>
      </c>
    </row>
    <row r="9" spans="1:25">
      <c r="A9" s="2" t="s">
        <v>21</v>
      </c>
      <c r="B9" s="3"/>
      <c r="C9" s="4"/>
      <c r="E9" s="2" t="s">
        <v>22</v>
      </c>
      <c r="F9" s="3"/>
      <c r="G9" s="4"/>
      <c r="J9" s="5"/>
      <c r="K9" s="6" t="s">
        <v>23</v>
      </c>
      <c r="L9" s="6">
        <f>1/(0.5/1+0.5/$L$7)</f>
        <v>0.58156028368794332</v>
      </c>
      <c r="M9" s="6" t="s">
        <v>24</v>
      </c>
      <c r="N9" s="6">
        <f>0.5*$N$7+0.5*28</f>
        <v>35.040500000000002</v>
      </c>
      <c r="O9" s="7"/>
      <c r="S9" s="120">
        <v>1.8800000000000001E-2</v>
      </c>
    </row>
    <row r="10" spans="1:25">
      <c r="A10" s="18" t="s">
        <v>82</v>
      </c>
      <c r="C10" s="7"/>
      <c r="E10" s="5" t="s">
        <v>26</v>
      </c>
      <c r="F10" s="6">
        <v>0.94021538450892761</v>
      </c>
      <c r="G10" s="7"/>
      <c r="J10" s="5"/>
      <c r="K10" s="6" t="s">
        <v>27</v>
      </c>
      <c r="L10" s="6">
        <v>0.72</v>
      </c>
      <c r="M10" s="6" t="s">
        <v>28</v>
      </c>
      <c r="N10" s="6">
        <v>16.042999999999999</v>
      </c>
      <c r="O10" s="7"/>
    </row>
    <row r="11" spans="1:25">
      <c r="A11" s="87" t="s">
        <v>81</v>
      </c>
      <c r="B11" s="6" t="s">
        <v>25</v>
      </c>
      <c r="C11" s="7"/>
      <c r="E11" s="8" t="s">
        <v>29</v>
      </c>
      <c r="F11" s="9">
        <v>-5.9183695933253659</v>
      </c>
      <c r="G11" s="10"/>
      <c r="J11" s="5"/>
      <c r="K11" s="6"/>
      <c r="L11" s="6"/>
      <c r="M11" s="6"/>
      <c r="N11" s="6"/>
      <c r="O11" s="7"/>
    </row>
    <row r="12" spans="1:25">
      <c r="A12">
        <v>477</v>
      </c>
      <c r="B12" s="6">
        <v>10</v>
      </c>
      <c r="C12" s="7"/>
      <c r="J12" s="5" t="s">
        <v>30</v>
      </c>
      <c r="K12" s="6"/>
      <c r="L12" s="6"/>
      <c r="M12" s="6"/>
      <c r="N12" s="6"/>
      <c r="O12" s="7"/>
    </row>
    <row r="13" spans="1:25">
      <c r="A13">
        <v>434</v>
      </c>
      <c r="B13" s="6">
        <v>20</v>
      </c>
      <c r="C13" s="7"/>
      <c r="J13" s="5"/>
      <c r="K13" s="6" t="s">
        <v>31</v>
      </c>
      <c r="L13" s="6"/>
      <c r="M13" s="6"/>
      <c r="N13" s="6"/>
      <c r="O13" s="7"/>
    </row>
    <row r="14" spans="1:25">
      <c r="A14">
        <v>391</v>
      </c>
      <c r="B14" s="11">
        <v>30</v>
      </c>
      <c r="C14" s="7"/>
      <c r="J14" s="8"/>
      <c r="K14" s="9" t="s">
        <v>32</v>
      </c>
      <c r="L14" s="9"/>
      <c r="M14" s="9"/>
      <c r="N14" s="9"/>
      <c r="O14" s="10"/>
    </row>
    <row r="15" spans="1:25">
      <c r="A15">
        <v>347</v>
      </c>
      <c r="B15" s="11">
        <v>40</v>
      </c>
      <c r="C15" s="7"/>
    </row>
    <row r="16" spans="1:25">
      <c r="A16">
        <v>304</v>
      </c>
      <c r="B16" s="11">
        <v>50</v>
      </c>
      <c r="C16" s="7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4"/>
    </row>
    <row r="17" spans="1:25">
      <c r="A17">
        <v>259</v>
      </c>
      <c r="B17" s="11">
        <v>60</v>
      </c>
      <c r="C17" s="7"/>
      <c r="J17" s="5"/>
      <c r="K17" s="6" t="s">
        <v>33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116" t="s">
        <v>95</v>
      </c>
      <c r="W17" s="6"/>
      <c r="X17" s="6"/>
      <c r="Y17" s="7"/>
    </row>
    <row r="18" spans="1:25">
      <c r="A18">
        <v>216</v>
      </c>
      <c r="B18" s="11">
        <v>70</v>
      </c>
      <c r="C18" s="7"/>
      <c r="J18" s="5"/>
      <c r="K18" s="12" t="s">
        <v>34</v>
      </c>
      <c r="L18" s="6">
        <v>294.16000000000003</v>
      </c>
      <c r="M18" s="12" t="s">
        <v>35</v>
      </c>
      <c r="N18" s="6">
        <v>101325</v>
      </c>
      <c r="O18" s="6"/>
      <c r="P18" s="6"/>
      <c r="Q18" s="6"/>
      <c r="R18" s="6"/>
      <c r="S18" s="6"/>
      <c r="T18" s="6"/>
      <c r="U18" s="6"/>
      <c r="V18" s="116" t="s">
        <v>96</v>
      </c>
      <c r="W18" s="116" t="s">
        <v>77</v>
      </c>
      <c r="X18" s="116" t="s">
        <v>97</v>
      </c>
      <c r="Y18" s="7"/>
    </row>
    <row r="19" spans="1:25">
      <c r="A19">
        <v>173</v>
      </c>
      <c r="B19" s="11">
        <v>80</v>
      </c>
      <c r="C19" s="7"/>
      <c r="J19" s="5"/>
      <c r="K19" s="6" t="s">
        <v>4</v>
      </c>
      <c r="L19" s="6" t="s">
        <v>36</v>
      </c>
      <c r="M19" s="6" t="s">
        <v>6</v>
      </c>
      <c r="N19" s="6" t="s">
        <v>7</v>
      </c>
      <c r="O19" s="6"/>
      <c r="P19" s="116" t="s">
        <v>77</v>
      </c>
      <c r="Q19" s="116" t="s">
        <v>121</v>
      </c>
      <c r="R19" s="116" t="s">
        <v>79</v>
      </c>
      <c r="S19" s="116" t="s">
        <v>123</v>
      </c>
      <c r="T19" s="6"/>
      <c r="U19" s="116" t="s">
        <v>98</v>
      </c>
      <c r="V19" s="116" t="s">
        <v>99</v>
      </c>
      <c r="W19" s="116" t="s">
        <v>100</v>
      </c>
      <c r="X19" s="116" t="s">
        <v>101</v>
      </c>
      <c r="Y19" s="7"/>
    </row>
    <row r="20" spans="1:25">
      <c r="A20">
        <v>129</v>
      </c>
      <c r="B20" s="11">
        <v>90</v>
      </c>
      <c r="C20" s="7"/>
      <c r="J20" s="5"/>
      <c r="K20" s="6" t="s">
        <v>9</v>
      </c>
      <c r="L20" s="13">
        <f t="shared" ref="L20:L26" si="0">$N$18*N20/(8.314*$L$18)</f>
        <v>1162.2987427650205</v>
      </c>
      <c r="M20" s="6" t="s">
        <v>10</v>
      </c>
      <c r="N20" s="6">
        <v>28.053999999999998</v>
      </c>
      <c r="O20" s="6"/>
      <c r="P20" s="117">
        <v>1.0233583333333299E-2</v>
      </c>
      <c r="Q20" s="6"/>
      <c r="R20" s="6">
        <v>6.3727000000000006E-2</v>
      </c>
      <c r="S20" s="6">
        <v>2367.4</v>
      </c>
      <c r="T20" s="6"/>
      <c r="U20" s="6" t="s">
        <v>9</v>
      </c>
      <c r="V20" s="6">
        <v>1332.77</v>
      </c>
      <c r="W20" s="117">
        <v>5.0085999999999999E-2</v>
      </c>
      <c r="X20" s="6">
        <v>264.39999999999998</v>
      </c>
      <c r="Y20" s="7"/>
    </row>
    <row r="21" spans="1:25">
      <c r="A21">
        <v>86</v>
      </c>
      <c r="B21" s="11">
        <v>100</v>
      </c>
      <c r="C21" s="7"/>
      <c r="J21" s="5"/>
      <c r="K21" s="6" t="s">
        <v>13</v>
      </c>
      <c r="L21" s="13">
        <f t="shared" si="0"/>
        <v>1826.8482485022037</v>
      </c>
      <c r="M21" s="6" t="s">
        <v>14</v>
      </c>
      <c r="N21" s="6">
        <v>44.094000000000001</v>
      </c>
      <c r="O21" s="6"/>
      <c r="P21" s="117">
        <v>8.1302787878787895E-3</v>
      </c>
      <c r="Q21" s="6"/>
      <c r="R21" s="6">
        <v>6.0320499999999999E-2</v>
      </c>
      <c r="S21" s="6">
        <v>2264.12</v>
      </c>
      <c r="T21" s="6"/>
      <c r="U21" s="6" t="s">
        <v>13</v>
      </c>
      <c r="V21" s="6">
        <v>1281.06</v>
      </c>
      <c r="W21" s="117">
        <v>4.8845E-2</v>
      </c>
      <c r="X21" s="6">
        <v>275.2</v>
      </c>
      <c r="Y21" s="7"/>
    </row>
    <row r="22" spans="1:25">
      <c r="A22" s="5"/>
      <c r="B22" s="6"/>
      <c r="C22" s="7"/>
      <c r="J22" s="5"/>
      <c r="K22" s="6" t="s">
        <v>17</v>
      </c>
      <c r="L22" s="13">
        <f t="shared" si="0"/>
        <v>1743.448114147531</v>
      </c>
      <c r="M22" s="6" t="s">
        <v>18</v>
      </c>
      <c r="N22" s="6">
        <v>42.081000000000003</v>
      </c>
      <c r="O22" s="6"/>
      <c r="P22" s="117">
        <v>8.5879367469879498E-3</v>
      </c>
      <c r="Q22" s="6"/>
      <c r="R22" s="6">
        <v>6.3731999999999997E-2</v>
      </c>
      <c r="S22" s="6">
        <v>2331.98</v>
      </c>
      <c r="T22" s="6"/>
      <c r="U22" s="6" t="s">
        <v>17</v>
      </c>
      <c r="V22" s="6">
        <v>1314.99</v>
      </c>
      <c r="W22" s="117">
        <v>4.9660000000000003E-2</v>
      </c>
      <c r="X22" s="6">
        <v>176.4</v>
      </c>
      <c r="Y22" s="7"/>
    </row>
    <row r="23" spans="1:25">
      <c r="A23" s="5" t="s">
        <v>37</v>
      </c>
      <c r="B23" s="6">
        <f>SLOPE(B12:B21,A12:A21)</f>
        <v>-0.22973813307538177</v>
      </c>
      <c r="C23" s="7"/>
      <c r="J23" s="5"/>
      <c r="K23" s="6" t="s">
        <v>19</v>
      </c>
      <c r="L23" s="13">
        <f t="shared" si="0"/>
        <v>1597.6014559448304</v>
      </c>
      <c r="M23" s="6" t="s">
        <v>20</v>
      </c>
      <c r="N23" s="6">
        <f>0.75*$N$7+0.25*28</f>
        <v>38.560749999999999</v>
      </c>
      <c r="O23" s="6"/>
      <c r="P23" s="117">
        <v>1.0535336114857199E-2</v>
      </c>
      <c r="Q23" s="6"/>
      <c r="R23" s="118">
        <v>7.6782589999999998E-2</v>
      </c>
      <c r="S23" s="6">
        <v>2317.4</v>
      </c>
      <c r="T23" s="6"/>
      <c r="U23" s="6" t="s">
        <v>19</v>
      </c>
      <c r="V23" s="6">
        <v>1307.7</v>
      </c>
      <c r="W23" s="117">
        <v>4.9485000000000001E-2</v>
      </c>
      <c r="X23" s="6">
        <v>222.2</v>
      </c>
      <c r="Y23" s="7"/>
    </row>
    <row r="24" spans="1:25">
      <c r="A24" s="8" t="s">
        <v>38</v>
      </c>
      <c r="B24" s="9">
        <f>INTERCEPT(B11:B21,A11:A21)</f>
        <v>119.6942582740275</v>
      </c>
      <c r="C24" s="10"/>
      <c r="J24" s="5"/>
      <c r="K24" s="6" t="s">
        <v>23</v>
      </c>
      <c r="L24" s="13">
        <f t="shared" si="0"/>
        <v>1451.7547977421298</v>
      </c>
      <c r="M24" s="6" t="s">
        <v>24</v>
      </c>
      <c r="N24" s="6">
        <f>0.5*$N$7+0.5*28</f>
        <v>35.040500000000002</v>
      </c>
      <c r="O24" s="6"/>
      <c r="P24" s="117">
        <v>1.26801491808272E-2</v>
      </c>
      <c r="Q24" s="6"/>
      <c r="R24" s="118">
        <v>0.10183122999999999</v>
      </c>
      <c r="S24" s="6">
        <v>2288.3000000000002</v>
      </c>
      <c r="T24" s="6"/>
      <c r="U24" s="6" t="s">
        <v>23</v>
      </c>
      <c r="V24" s="6">
        <v>1293.1500000000001</v>
      </c>
      <c r="W24" s="119">
        <v>4.9135999999999999E-2</v>
      </c>
      <c r="X24" s="116">
        <v>272.3</v>
      </c>
      <c r="Y24" s="7"/>
    </row>
    <row r="25" spans="1:25">
      <c r="J25" s="5"/>
      <c r="K25" s="6" t="s">
        <v>27</v>
      </c>
      <c r="L25" s="13">
        <f t="shared" si="0"/>
        <v>664.67379803875474</v>
      </c>
      <c r="M25" s="6" t="s">
        <v>28</v>
      </c>
      <c r="N25" s="6">
        <v>16.042999999999999</v>
      </c>
      <c r="O25" s="6"/>
      <c r="P25" s="117">
        <v>1.1017925E-2</v>
      </c>
      <c r="Q25" s="6"/>
      <c r="R25" s="6"/>
      <c r="S25" s="6"/>
      <c r="T25" s="6"/>
      <c r="U25" s="6"/>
      <c r="V25" s="6"/>
      <c r="W25" s="6"/>
      <c r="X25" s="6"/>
      <c r="Y25" s="7"/>
    </row>
    <row r="26" spans="1:25">
      <c r="J26" s="8"/>
      <c r="K26" s="32" t="s">
        <v>46</v>
      </c>
      <c r="L26" s="13">
        <f t="shared" si="0"/>
        <v>1194.8633257768302</v>
      </c>
      <c r="M26" s="32" t="s">
        <v>78</v>
      </c>
      <c r="N26" s="9">
        <v>28.84</v>
      </c>
      <c r="O26" s="9"/>
      <c r="P26" s="120">
        <v>1.8800000000000001E-2</v>
      </c>
      <c r="Q26" s="9"/>
      <c r="R26" s="9"/>
      <c r="S26" s="9"/>
      <c r="T26" s="9"/>
      <c r="U26" s="9"/>
      <c r="V26" s="9"/>
      <c r="W26" s="9"/>
      <c r="X26" s="9"/>
      <c r="Y26" s="10"/>
    </row>
    <row r="28" spans="1:25">
      <c r="A28" s="2" t="s">
        <v>21</v>
      </c>
      <c r="B28" s="3"/>
      <c r="C28" s="4"/>
      <c r="E28" s="2" t="s">
        <v>21</v>
      </c>
      <c r="F28" s="3"/>
      <c r="G28" s="4"/>
      <c r="I28" s="2" t="s">
        <v>21</v>
      </c>
      <c r="J28" s="3"/>
      <c r="K28" s="4"/>
      <c r="M28" s="2" t="s">
        <v>21</v>
      </c>
      <c r="N28" s="3"/>
      <c r="O28" s="4"/>
      <c r="Q28" s="2" t="s">
        <v>21</v>
      </c>
      <c r="R28" s="3"/>
      <c r="S28" s="4"/>
    </row>
    <row r="29" spans="1:25">
      <c r="A29" s="18" t="s">
        <v>84</v>
      </c>
      <c r="C29" s="7"/>
      <c r="E29" s="18" t="s">
        <v>83</v>
      </c>
      <c r="G29" s="7"/>
      <c r="I29" s="18" t="s">
        <v>85</v>
      </c>
      <c r="K29" s="7"/>
      <c r="M29" s="18" t="s">
        <v>86</v>
      </c>
      <c r="O29" s="7"/>
      <c r="Q29" s="18" t="s">
        <v>87</v>
      </c>
      <c r="R29" s="18" t="s">
        <v>88</v>
      </c>
      <c r="S29" s="7"/>
    </row>
    <row r="30" spans="1:25">
      <c r="A30" s="87" t="s">
        <v>81</v>
      </c>
      <c r="B30" s="6" t="s">
        <v>25</v>
      </c>
      <c r="C30" s="7"/>
      <c r="E30" s="87" t="s">
        <v>81</v>
      </c>
      <c r="F30" s="6" t="s">
        <v>25</v>
      </c>
      <c r="G30" s="7"/>
      <c r="I30" s="87" t="s">
        <v>81</v>
      </c>
      <c r="J30" s="6" t="s">
        <v>25</v>
      </c>
      <c r="K30" s="7"/>
      <c r="M30" s="87" t="s">
        <v>81</v>
      </c>
      <c r="N30" s="6" t="s">
        <v>25</v>
      </c>
      <c r="O30" s="7"/>
      <c r="Q30" s="87" t="s">
        <v>81</v>
      </c>
      <c r="R30" s="6" t="s">
        <v>25</v>
      </c>
      <c r="S30" s="7"/>
    </row>
    <row r="31" spans="1:25">
      <c r="A31">
        <v>479</v>
      </c>
      <c r="B31" s="6">
        <v>10</v>
      </c>
      <c r="C31" s="7"/>
      <c r="E31">
        <v>477</v>
      </c>
      <c r="F31" s="6">
        <v>10</v>
      </c>
      <c r="G31" s="7"/>
      <c r="I31">
        <v>482</v>
      </c>
      <c r="J31" s="6">
        <v>10</v>
      </c>
      <c r="K31" s="7"/>
      <c r="M31">
        <v>483</v>
      </c>
      <c r="N31" s="6">
        <v>10</v>
      </c>
      <c r="O31" s="7"/>
      <c r="Q31">
        <v>483</v>
      </c>
      <c r="R31" s="6">
        <v>10</v>
      </c>
      <c r="S31" s="7"/>
    </row>
    <row r="32" spans="1:25">
      <c r="A32">
        <v>436</v>
      </c>
      <c r="B32" s="6">
        <v>20</v>
      </c>
      <c r="C32" s="7"/>
      <c r="E32">
        <v>434</v>
      </c>
      <c r="F32" s="6">
        <v>20</v>
      </c>
      <c r="G32" s="7"/>
      <c r="I32">
        <v>439</v>
      </c>
      <c r="J32" s="6">
        <v>20</v>
      </c>
      <c r="K32" s="7"/>
      <c r="M32">
        <v>440</v>
      </c>
      <c r="N32" s="6">
        <v>20</v>
      </c>
      <c r="O32" s="7"/>
      <c r="Q32">
        <v>439</v>
      </c>
      <c r="R32" s="6">
        <v>20</v>
      </c>
      <c r="S32" s="7"/>
    </row>
    <row r="33" spans="1:19">
      <c r="A33">
        <v>393</v>
      </c>
      <c r="B33" s="11">
        <v>30</v>
      </c>
      <c r="C33" s="7"/>
      <c r="E33">
        <v>391</v>
      </c>
      <c r="F33" s="11">
        <v>30</v>
      </c>
      <c r="G33" s="7"/>
      <c r="I33">
        <v>396</v>
      </c>
      <c r="J33" s="11">
        <v>30</v>
      </c>
      <c r="K33" s="7"/>
      <c r="M33">
        <v>395</v>
      </c>
      <c r="N33" s="11">
        <v>30</v>
      </c>
      <c r="O33" s="7"/>
      <c r="Q33">
        <v>394</v>
      </c>
      <c r="R33" s="11">
        <v>30</v>
      </c>
      <c r="S33" s="7"/>
    </row>
    <row r="34" spans="1:19">
      <c r="A34">
        <v>351</v>
      </c>
      <c r="B34" s="11">
        <v>40</v>
      </c>
      <c r="C34" s="7"/>
      <c r="E34">
        <v>347</v>
      </c>
      <c r="F34" s="11">
        <v>40</v>
      </c>
      <c r="G34" s="7"/>
      <c r="I34">
        <v>352</v>
      </c>
      <c r="J34" s="11">
        <v>40</v>
      </c>
      <c r="K34" s="7"/>
      <c r="M34">
        <v>351</v>
      </c>
      <c r="N34" s="11">
        <v>40</v>
      </c>
      <c r="O34" s="7"/>
      <c r="Q34">
        <v>350</v>
      </c>
      <c r="R34" s="11">
        <v>40</v>
      </c>
      <c r="S34" s="7"/>
    </row>
    <row r="35" spans="1:19">
      <c r="A35">
        <v>309</v>
      </c>
      <c r="B35" s="11">
        <v>50</v>
      </c>
      <c r="C35" s="7"/>
      <c r="E35">
        <v>304</v>
      </c>
      <c r="F35" s="11">
        <v>50</v>
      </c>
      <c r="G35" s="7"/>
      <c r="I35">
        <v>309</v>
      </c>
      <c r="J35" s="11">
        <v>50</v>
      </c>
      <c r="K35" s="7"/>
      <c r="M35">
        <v>307</v>
      </c>
      <c r="N35" s="11">
        <v>50</v>
      </c>
      <c r="O35" s="7"/>
      <c r="Q35">
        <v>304</v>
      </c>
      <c r="R35" s="11">
        <v>50</v>
      </c>
      <c r="S35" s="7"/>
    </row>
    <row r="36" spans="1:19">
      <c r="A36">
        <v>264</v>
      </c>
      <c r="B36" s="11">
        <v>60</v>
      </c>
      <c r="C36" s="7"/>
      <c r="E36">
        <v>259</v>
      </c>
      <c r="F36" s="11">
        <v>60</v>
      </c>
      <c r="G36" s="7"/>
      <c r="I36">
        <v>265</v>
      </c>
      <c r="J36" s="11">
        <v>60</v>
      </c>
      <c r="K36" s="7"/>
      <c r="M36">
        <v>262</v>
      </c>
      <c r="N36" s="11">
        <v>60</v>
      </c>
      <c r="O36" s="7"/>
      <c r="Q36">
        <v>260</v>
      </c>
      <c r="R36" s="11">
        <v>60</v>
      </c>
      <c r="S36" s="7"/>
    </row>
    <row r="37" spans="1:19">
      <c r="A37">
        <v>222</v>
      </c>
      <c r="B37" s="11">
        <v>70</v>
      </c>
      <c r="C37" s="7"/>
      <c r="E37">
        <v>216</v>
      </c>
      <c r="F37" s="11">
        <v>70</v>
      </c>
      <c r="G37" s="7"/>
      <c r="I37">
        <v>222</v>
      </c>
      <c r="J37" s="11">
        <v>70</v>
      </c>
      <c r="K37" s="7"/>
      <c r="M37">
        <v>218</v>
      </c>
      <c r="N37" s="11">
        <v>70</v>
      </c>
      <c r="O37" s="7"/>
      <c r="Q37">
        <v>215</v>
      </c>
      <c r="R37" s="11">
        <v>70</v>
      </c>
      <c r="S37" s="7"/>
    </row>
    <row r="38" spans="1:19">
      <c r="A38">
        <v>179</v>
      </c>
      <c r="B38" s="11">
        <v>80</v>
      </c>
      <c r="C38" s="7"/>
      <c r="E38">
        <v>173</v>
      </c>
      <c r="F38" s="11">
        <v>80</v>
      </c>
      <c r="G38" s="7"/>
      <c r="I38">
        <v>178</v>
      </c>
      <c r="J38" s="11">
        <v>80</v>
      </c>
      <c r="K38" s="7"/>
      <c r="M38">
        <v>174</v>
      </c>
      <c r="N38" s="11">
        <v>80</v>
      </c>
      <c r="O38" s="7"/>
      <c r="Q38">
        <v>170</v>
      </c>
      <c r="R38" s="11">
        <v>80</v>
      </c>
      <c r="S38" s="7"/>
    </row>
    <row r="39" spans="1:19">
      <c r="A39">
        <v>136</v>
      </c>
      <c r="B39" s="11">
        <v>90</v>
      </c>
      <c r="C39" s="7"/>
      <c r="E39">
        <v>129</v>
      </c>
      <c r="F39" s="11">
        <v>90</v>
      </c>
      <c r="G39" s="7"/>
      <c r="I39">
        <v>135</v>
      </c>
      <c r="J39" s="11">
        <v>90</v>
      </c>
      <c r="K39" s="7"/>
      <c r="M39">
        <v>128</v>
      </c>
      <c r="N39" s="11">
        <v>90</v>
      </c>
      <c r="O39" s="7"/>
      <c r="Q39">
        <v>126</v>
      </c>
      <c r="R39" s="11">
        <v>90</v>
      </c>
      <c r="S39" s="7"/>
    </row>
    <row r="40" spans="1:19">
      <c r="A40" s="5"/>
      <c r="B40" s="11"/>
      <c r="C40" s="7"/>
      <c r="E40">
        <v>86</v>
      </c>
      <c r="F40" s="11">
        <v>100</v>
      </c>
      <c r="G40" s="7"/>
      <c r="I40">
        <v>93</v>
      </c>
      <c r="J40" s="11">
        <v>100</v>
      </c>
      <c r="K40" s="7"/>
      <c r="M40">
        <v>86</v>
      </c>
      <c r="N40" s="11">
        <v>100</v>
      </c>
      <c r="O40" s="7"/>
      <c r="Q40">
        <v>82</v>
      </c>
      <c r="R40" s="11">
        <v>100</v>
      </c>
      <c r="S40" s="7"/>
    </row>
    <row r="41" spans="1:19">
      <c r="A41" s="5"/>
      <c r="B41" s="6"/>
      <c r="C41" s="7"/>
      <c r="E41" s="5"/>
      <c r="F41" s="6"/>
      <c r="G41" s="7"/>
      <c r="I41" s="5"/>
      <c r="J41" s="6"/>
      <c r="K41" s="7"/>
      <c r="M41" s="5"/>
      <c r="N41" s="6"/>
      <c r="O41" s="7"/>
      <c r="Q41" s="5"/>
      <c r="R41" s="6"/>
      <c r="S41" s="7"/>
    </row>
    <row r="42" spans="1:19">
      <c r="A42" s="5" t="s">
        <v>37</v>
      </c>
      <c r="B42" s="6">
        <f>SLOPE(B31:B39,A31:A39)</f>
        <v>-0.23327528660571759</v>
      </c>
      <c r="C42" s="7"/>
      <c r="E42" s="5" t="s">
        <v>37</v>
      </c>
      <c r="F42" s="6">
        <f>SLOPE(F31:F40,E31:E40)</f>
        <v>-0.22973813307538177</v>
      </c>
      <c r="G42" s="7"/>
      <c r="I42" s="5" t="s">
        <v>37</v>
      </c>
      <c r="J42" s="6">
        <f>SLOPE(J31:J40,I31:I40)</f>
        <v>-0.2306691630833885</v>
      </c>
      <c r="K42" s="7"/>
      <c r="M42" s="5" t="s">
        <v>37</v>
      </c>
      <c r="N42" s="6">
        <f>SLOPE(N31:N40,M31:M40)</f>
        <v>-0.22583620600119692</v>
      </c>
      <c r="O42" s="7"/>
      <c r="Q42" s="5" t="s">
        <v>37</v>
      </c>
      <c r="R42" s="6">
        <f>SLOPE(R31:R40,Q31:Q40)</f>
        <v>-0.2239081250482364</v>
      </c>
      <c r="S42" s="7"/>
    </row>
    <row r="43" spans="1:19">
      <c r="A43" s="8" t="s">
        <v>38</v>
      </c>
      <c r="B43" s="9">
        <f>INTERCEPT(B30:B40,A30:A40)</f>
        <v>121.77102984569245</v>
      </c>
      <c r="C43" s="10"/>
      <c r="E43" s="8" t="s">
        <v>38</v>
      </c>
      <c r="F43" s="9">
        <f>INTERCEPT(F30:F40,E30:E40)</f>
        <v>119.6942582740275</v>
      </c>
      <c r="G43" s="10"/>
      <c r="I43" s="8" t="s">
        <v>38</v>
      </c>
      <c r="J43" s="9">
        <f>INTERCEPT(J30:J40,I30:I40)</f>
        <v>121.22511672124084</v>
      </c>
      <c r="K43" s="10"/>
      <c r="M43" s="8" t="s">
        <v>38</v>
      </c>
      <c r="N43" s="9">
        <f>INTERCEPT(N30:N40,M30:M40)</f>
        <v>119.22781698674039</v>
      </c>
      <c r="O43" s="10"/>
      <c r="Q43" s="8" t="s">
        <v>38</v>
      </c>
      <c r="R43" s="9">
        <f>INTERCEPT(R30:R40,Q30:Q40)</f>
        <v>118.20926370111714</v>
      </c>
      <c r="S43" s="10"/>
    </row>
    <row r="46" spans="1:19">
      <c r="A46" s="2" t="s">
        <v>21</v>
      </c>
      <c r="B46" s="3"/>
      <c r="C46" s="4"/>
      <c r="E46" s="2" t="s">
        <v>21</v>
      </c>
      <c r="F46" s="3"/>
      <c r="G46" s="4"/>
      <c r="I46" s="2" t="s">
        <v>21</v>
      </c>
      <c r="J46" s="3"/>
      <c r="K46" s="4"/>
      <c r="M46" s="2" t="s">
        <v>21</v>
      </c>
      <c r="N46" s="3"/>
      <c r="O46" s="4"/>
      <c r="Q46" s="2" t="s">
        <v>21</v>
      </c>
      <c r="R46" s="3"/>
      <c r="S46" s="4"/>
    </row>
    <row r="47" spans="1:19">
      <c r="A47" s="18" t="s">
        <v>87</v>
      </c>
      <c r="B47" s="18" t="s">
        <v>89</v>
      </c>
      <c r="C47" s="7"/>
      <c r="E47" s="18" t="s">
        <v>90</v>
      </c>
      <c r="F47" s="18" t="s">
        <v>88</v>
      </c>
      <c r="G47" s="7"/>
      <c r="I47" s="18" t="s">
        <v>90</v>
      </c>
      <c r="J47" s="18" t="s">
        <v>89</v>
      </c>
      <c r="K47" s="7"/>
      <c r="M47" s="18" t="s">
        <v>91</v>
      </c>
      <c r="N47" s="18"/>
      <c r="O47" s="7"/>
      <c r="Q47" s="18" t="s">
        <v>92</v>
      </c>
      <c r="R47" s="18"/>
      <c r="S47" s="7"/>
    </row>
    <row r="48" spans="1:19">
      <c r="A48" s="87" t="s">
        <v>81</v>
      </c>
      <c r="B48" s="6" t="s">
        <v>25</v>
      </c>
      <c r="C48" s="7"/>
      <c r="E48" s="87" t="s">
        <v>81</v>
      </c>
      <c r="F48" s="6" t="s">
        <v>25</v>
      </c>
      <c r="G48" s="7"/>
      <c r="I48" s="87" t="s">
        <v>81</v>
      </c>
      <c r="J48" s="6" t="s">
        <v>25</v>
      </c>
      <c r="K48" s="7"/>
      <c r="M48" s="87" t="s">
        <v>81</v>
      </c>
      <c r="N48" s="6" t="s">
        <v>25</v>
      </c>
      <c r="O48" s="7"/>
      <c r="Q48" s="87" t="s">
        <v>81</v>
      </c>
      <c r="R48" s="6" t="s">
        <v>25</v>
      </c>
      <c r="S48" s="7"/>
    </row>
    <row r="49" spans="1:19">
      <c r="A49"/>
      <c r="B49" s="6">
        <v>10</v>
      </c>
      <c r="C49" s="7"/>
      <c r="E49">
        <v>475</v>
      </c>
      <c r="F49" s="6">
        <v>10</v>
      </c>
      <c r="G49" s="7"/>
      <c r="I49"/>
      <c r="J49" s="6">
        <v>10</v>
      </c>
      <c r="K49" s="7"/>
      <c r="M49">
        <v>478</v>
      </c>
      <c r="N49" s="6">
        <v>10</v>
      </c>
      <c r="O49" s="7"/>
      <c r="Q49">
        <v>478</v>
      </c>
      <c r="R49" s="6">
        <v>10</v>
      </c>
      <c r="S49" s="7"/>
    </row>
    <row r="50" spans="1:19">
      <c r="A50"/>
      <c r="B50" s="6">
        <v>20</v>
      </c>
      <c r="C50" s="7"/>
      <c r="E50">
        <v>432</v>
      </c>
      <c r="F50" s="6">
        <v>20</v>
      </c>
      <c r="G50" s="7"/>
      <c r="I50"/>
      <c r="J50" s="6">
        <v>20</v>
      </c>
      <c r="K50" s="7"/>
      <c r="M50">
        <v>434</v>
      </c>
      <c r="N50" s="6">
        <v>20</v>
      </c>
      <c r="O50" s="7"/>
      <c r="Q50">
        <v>434</v>
      </c>
      <c r="R50" s="6">
        <v>20</v>
      </c>
      <c r="S50" s="7"/>
    </row>
    <row r="51" spans="1:19">
      <c r="A51"/>
      <c r="B51" s="11">
        <v>30</v>
      </c>
      <c r="C51" s="7"/>
      <c r="E51">
        <v>388</v>
      </c>
      <c r="F51" s="11">
        <v>30</v>
      </c>
      <c r="G51" s="7"/>
      <c r="I51"/>
      <c r="J51" s="11">
        <v>30</v>
      </c>
      <c r="K51" s="7"/>
      <c r="M51">
        <v>391</v>
      </c>
      <c r="N51" s="11">
        <v>30</v>
      </c>
      <c r="O51" s="7"/>
      <c r="Q51">
        <v>391</v>
      </c>
      <c r="R51" s="11">
        <v>30</v>
      </c>
      <c r="S51" s="7"/>
    </row>
    <row r="52" spans="1:19">
      <c r="A52"/>
      <c r="B52" s="11">
        <v>40</v>
      </c>
      <c r="C52" s="7"/>
      <c r="E52">
        <v>344</v>
      </c>
      <c r="F52" s="11">
        <v>40</v>
      </c>
      <c r="G52" s="7"/>
      <c r="I52"/>
      <c r="J52" s="11">
        <v>40</v>
      </c>
      <c r="K52" s="7"/>
      <c r="M52">
        <v>348</v>
      </c>
      <c r="N52" s="11">
        <v>40</v>
      </c>
      <c r="O52" s="7"/>
      <c r="Q52">
        <v>347</v>
      </c>
      <c r="R52" s="11">
        <v>40</v>
      </c>
      <c r="S52" s="7"/>
    </row>
    <row r="53" spans="1:19">
      <c r="A53"/>
      <c r="B53" s="11">
        <v>50</v>
      </c>
      <c r="C53" s="7"/>
      <c r="E53">
        <v>300</v>
      </c>
      <c r="F53" s="11">
        <v>50</v>
      </c>
      <c r="G53" s="7"/>
      <c r="I53"/>
      <c r="J53" s="11">
        <v>50</v>
      </c>
      <c r="K53" s="7"/>
      <c r="M53">
        <v>304</v>
      </c>
      <c r="N53" s="11">
        <v>50</v>
      </c>
      <c r="O53" s="7"/>
      <c r="Q53">
        <v>304</v>
      </c>
      <c r="R53" s="11">
        <v>50</v>
      </c>
      <c r="S53" s="7"/>
    </row>
    <row r="54" spans="1:19">
      <c r="A54"/>
      <c r="B54" s="11">
        <v>60</v>
      </c>
      <c r="C54" s="7"/>
      <c r="E54">
        <v>256</v>
      </c>
      <c r="F54" s="11">
        <v>60</v>
      </c>
      <c r="G54" s="7"/>
      <c r="I54"/>
      <c r="J54" s="11">
        <v>60</v>
      </c>
      <c r="K54" s="7"/>
      <c r="M54">
        <v>260</v>
      </c>
      <c r="N54" s="11">
        <v>60</v>
      </c>
      <c r="O54" s="7"/>
      <c r="Q54">
        <v>260</v>
      </c>
      <c r="R54" s="11">
        <v>60</v>
      </c>
      <c r="S54" s="7"/>
    </row>
    <row r="55" spans="1:19">
      <c r="A55"/>
      <c r="B55" s="11">
        <v>70</v>
      </c>
      <c r="C55" s="7"/>
      <c r="E55">
        <v>211</v>
      </c>
      <c r="F55" s="11">
        <v>70</v>
      </c>
      <c r="G55" s="7"/>
      <c r="I55"/>
      <c r="J55" s="11">
        <v>70</v>
      </c>
      <c r="K55" s="7"/>
      <c r="M55">
        <v>216</v>
      </c>
      <c r="N55" s="11">
        <v>70</v>
      </c>
      <c r="O55" s="7"/>
      <c r="Q55">
        <v>216</v>
      </c>
      <c r="R55" s="11">
        <v>70</v>
      </c>
      <c r="S55" s="7"/>
    </row>
    <row r="56" spans="1:19">
      <c r="A56"/>
      <c r="B56" s="11">
        <v>80</v>
      </c>
      <c r="C56" s="7"/>
      <c r="E56">
        <v>167</v>
      </c>
      <c r="F56" s="11">
        <v>80</v>
      </c>
      <c r="G56" s="7"/>
      <c r="I56"/>
      <c r="J56" s="11">
        <v>80</v>
      </c>
      <c r="K56" s="7"/>
      <c r="M56">
        <v>173</v>
      </c>
      <c r="N56" s="11">
        <v>80</v>
      </c>
      <c r="O56" s="7"/>
      <c r="Q56">
        <v>173</v>
      </c>
      <c r="R56" s="11">
        <v>80</v>
      </c>
      <c r="S56" s="7"/>
    </row>
    <row r="57" spans="1:19">
      <c r="A57"/>
      <c r="B57" s="11">
        <v>90</v>
      </c>
      <c r="C57" s="7"/>
      <c r="E57">
        <v>124</v>
      </c>
      <c r="F57" s="11">
        <v>90</v>
      </c>
      <c r="G57" s="7"/>
      <c r="I57"/>
      <c r="J57" s="11">
        <v>90</v>
      </c>
      <c r="K57" s="7"/>
      <c r="M57">
        <v>130</v>
      </c>
      <c r="N57" s="11">
        <v>90</v>
      </c>
      <c r="O57" s="7"/>
      <c r="Q57">
        <v>129</v>
      </c>
      <c r="R57" s="11">
        <v>90</v>
      </c>
      <c r="S57" s="7"/>
    </row>
    <row r="58" spans="1:19">
      <c r="A58"/>
      <c r="B58" s="11">
        <v>100</v>
      </c>
      <c r="C58" s="7"/>
      <c r="E58">
        <v>80</v>
      </c>
      <c r="F58" s="11">
        <v>100</v>
      </c>
      <c r="G58" s="7"/>
      <c r="I58"/>
      <c r="J58" s="11">
        <v>100</v>
      </c>
      <c r="K58" s="7"/>
      <c r="M58">
        <v>87</v>
      </c>
      <c r="N58" s="11">
        <v>100</v>
      </c>
      <c r="O58" s="7"/>
      <c r="Q58">
        <v>87</v>
      </c>
      <c r="R58" s="11">
        <v>100</v>
      </c>
      <c r="S58" s="7"/>
    </row>
    <row r="59" spans="1:19">
      <c r="A59" s="5"/>
      <c r="B59" s="6"/>
      <c r="C59" s="7"/>
      <c r="E59" s="5"/>
      <c r="F59" s="6"/>
      <c r="G59" s="7"/>
      <c r="I59" s="5"/>
      <c r="J59" s="6"/>
      <c r="K59" s="7"/>
      <c r="M59" s="5"/>
      <c r="N59" s="6"/>
      <c r="O59" s="7"/>
      <c r="Q59" s="5"/>
      <c r="R59" s="6"/>
      <c r="S59" s="7"/>
    </row>
    <row r="60" spans="1:19">
      <c r="A60" s="5" t="s">
        <v>37</v>
      </c>
      <c r="B60" s="6" t="e">
        <f>SLOPE(B49:B58,A49:A58)</f>
        <v>#DIV/0!</v>
      </c>
      <c r="C60" s="7"/>
      <c r="E60" s="5" t="s">
        <v>37</v>
      </c>
      <c r="F60" s="6">
        <f>SLOPE(F49:F58,E49:E58)</f>
        <v>-0.22730105130258943</v>
      </c>
      <c r="G60" s="7"/>
      <c r="I60" s="5" t="s">
        <v>37</v>
      </c>
      <c r="J60" s="6" t="e">
        <f>SLOPE(J49:J58,I49:I58)</f>
        <v>#DIV/0!</v>
      </c>
      <c r="K60" s="7"/>
      <c r="M60" s="5" t="s">
        <v>37</v>
      </c>
      <c r="N60" s="6">
        <f>SLOPE(N49:N58,M49:M58)</f>
        <v>-0.22989809143262036</v>
      </c>
      <c r="O60" s="7"/>
      <c r="Q60" s="5" t="s">
        <v>37</v>
      </c>
      <c r="R60" s="6">
        <f>SLOPE(R49:R58,Q49:Q58)</f>
        <v>-0.22977008912430108</v>
      </c>
      <c r="S60" s="7"/>
    </row>
    <row r="61" spans="1:19">
      <c r="A61" s="8" t="s">
        <v>38</v>
      </c>
      <c r="B61" s="9" t="e">
        <f>INTERCEPT(B48:B58,A48:A58)</f>
        <v>#DIV/0!</v>
      </c>
      <c r="C61" s="10"/>
      <c r="E61" s="8" t="s">
        <v>38</v>
      </c>
      <c r="F61" s="9">
        <f>INTERCEPT(F48:F58,E48:E58)</f>
        <v>118.12150194672908</v>
      </c>
      <c r="G61" s="10"/>
      <c r="I61" s="8" t="s">
        <v>38</v>
      </c>
      <c r="J61" s="9" t="e">
        <f>INTERCEPT(J48:J58,I48:I58)</f>
        <v>#DIV/0!</v>
      </c>
      <c r="K61" s="10"/>
      <c r="M61" s="8" t="s">
        <v>38</v>
      </c>
      <c r="N61" s="9">
        <f>INTERCEPT(N48:N58,M48:M58)</f>
        <v>119.85425159314221</v>
      </c>
      <c r="O61" s="10"/>
      <c r="Q61" s="8" t="s">
        <v>38</v>
      </c>
      <c r="R61" s="9">
        <f>INTERCEPT(R48:R58,Q48:Q58)</f>
        <v>119.77218812414047</v>
      </c>
      <c r="S61" s="10"/>
    </row>
    <row r="64" spans="1:19">
      <c r="A64" s="2" t="s">
        <v>21</v>
      </c>
      <c r="B64" s="3"/>
      <c r="E64" s="2" t="s">
        <v>21</v>
      </c>
      <c r="F64" s="3"/>
      <c r="J64" s="2" t="s">
        <v>21</v>
      </c>
      <c r="K64" s="3"/>
      <c r="M64" s="2" t="s">
        <v>21</v>
      </c>
      <c r="N64" s="3"/>
      <c r="O64" s="4"/>
      <c r="Q64" s="1" t="s">
        <v>21</v>
      </c>
    </row>
    <row r="65" spans="1:18">
      <c r="A65" s="18" t="s">
        <v>93</v>
      </c>
      <c r="B65" s="18"/>
      <c r="E65" s="18" t="s">
        <v>94</v>
      </c>
      <c r="F65" s="18"/>
      <c r="J65" s="18" t="s">
        <v>94</v>
      </c>
      <c r="K65" s="18" t="s">
        <v>89</v>
      </c>
      <c r="M65" s="18" t="s">
        <v>84</v>
      </c>
      <c r="N65" s="18" t="s">
        <v>137</v>
      </c>
      <c r="O65" s="7"/>
      <c r="Q65" s="1" t="s">
        <v>84</v>
      </c>
      <c r="R65" s="1" t="s">
        <v>137</v>
      </c>
    </row>
    <row r="66" spans="1:18">
      <c r="A66" s="87" t="s">
        <v>81</v>
      </c>
      <c r="B66" s="6" t="s">
        <v>25</v>
      </c>
      <c r="E66" s="87" t="s">
        <v>81</v>
      </c>
      <c r="F66" s="6" t="s">
        <v>25</v>
      </c>
      <c r="J66" s="87" t="s">
        <v>81</v>
      </c>
      <c r="K66" s="6" t="s">
        <v>25</v>
      </c>
      <c r="M66" s="87" t="s">
        <v>81</v>
      </c>
      <c r="N66" s="6" t="s">
        <v>25</v>
      </c>
      <c r="O66" s="7"/>
      <c r="Q66" s="1" t="s">
        <v>81</v>
      </c>
      <c r="R66" s="1" t="s">
        <v>25</v>
      </c>
    </row>
    <row r="67" spans="1:18">
      <c r="A67">
        <v>479</v>
      </c>
      <c r="B67" s="6">
        <v>10</v>
      </c>
      <c r="E67">
        <v>476</v>
      </c>
      <c r="F67" s="6">
        <v>10</v>
      </c>
      <c r="J67">
        <v>476</v>
      </c>
      <c r="K67" s="6">
        <v>10</v>
      </c>
      <c r="M67">
        <v>501</v>
      </c>
      <c r="N67" s="6">
        <v>10</v>
      </c>
      <c r="O67" s="7"/>
      <c r="Q67" s="1">
        <v>501</v>
      </c>
      <c r="R67" s="1">
        <v>10</v>
      </c>
    </row>
    <row r="68" spans="1:18">
      <c r="A68">
        <v>434</v>
      </c>
      <c r="B68" s="6">
        <v>20</v>
      </c>
      <c r="E68">
        <v>432</v>
      </c>
      <c r="F68" s="6">
        <v>20</v>
      </c>
      <c r="J68">
        <v>432</v>
      </c>
      <c r="K68" s="6">
        <v>20</v>
      </c>
      <c r="M68">
        <v>451</v>
      </c>
      <c r="N68" s="6">
        <v>20</v>
      </c>
      <c r="O68" s="7"/>
      <c r="Q68" s="1">
        <v>451</v>
      </c>
      <c r="R68" s="1">
        <v>20</v>
      </c>
    </row>
    <row r="69" spans="1:18">
      <c r="A69">
        <v>390</v>
      </c>
      <c r="B69" s="11">
        <v>30</v>
      </c>
      <c r="E69">
        <v>389</v>
      </c>
      <c r="F69" s="11">
        <v>30</v>
      </c>
      <c r="J69">
        <v>390</v>
      </c>
      <c r="K69" s="11">
        <v>30</v>
      </c>
      <c r="M69">
        <v>402</v>
      </c>
      <c r="N69" s="11">
        <v>30</v>
      </c>
      <c r="O69" s="7"/>
      <c r="Q69" s="1">
        <v>402</v>
      </c>
      <c r="R69" s="1">
        <v>30</v>
      </c>
    </row>
    <row r="70" spans="1:18">
      <c r="A70">
        <v>345</v>
      </c>
      <c r="B70" s="11">
        <v>40</v>
      </c>
      <c r="E70">
        <v>346</v>
      </c>
      <c r="F70" s="11">
        <v>40</v>
      </c>
      <c r="J70">
        <v>346</v>
      </c>
      <c r="K70" s="11">
        <v>40</v>
      </c>
      <c r="M70">
        <v>353</v>
      </c>
      <c r="N70" s="11">
        <v>40</v>
      </c>
      <c r="O70" s="7"/>
      <c r="Q70" s="1">
        <v>353</v>
      </c>
      <c r="R70" s="1">
        <v>40</v>
      </c>
    </row>
    <row r="71" spans="1:18">
      <c r="A71">
        <v>302</v>
      </c>
      <c r="B71" s="11">
        <v>50</v>
      </c>
      <c r="E71">
        <v>302</v>
      </c>
      <c r="F71" s="11">
        <v>50</v>
      </c>
      <c r="J71">
        <v>302</v>
      </c>
      <c r="K71" s="11">
        <v>50</v>
      </c>
      <c r="M71">
        <v>303</v>
      </c>
      <c r="N71" s="11">
        <v>50</v>
      </c>
      <c r="O71" s="7"/>
      <c r="Q71" s="1">
        <v>303</v>
      </c>
      <c r="R71" s="1">
        <v>50</v>
      </c>
    </row>
    <row r="72" spans="1:18">
      <c r="A72">
        <v>256</v>
      </c>
      <c r="B72" s="11">
        <v>60</v>
      </c>
      <c r="E72">
        <v>258</v>
      </c>
      <c r="F72" s="11">
        <v>60</v>
      </c>
      <c r="J72">
        <v>258</v>
      </c>
      <c r="K72" s="11">
        <v>60</v>
      </c>
      <c r="M72">
        <v>253</v>
      </c>
      <c r="N72" s="11">
        <v>60</v>
      </c>
      <c r="O72" s="7"/>
      <c r="Q72" s="1">
        <v>253</v>
      </c>
      <c r="R72" s="1">
        <v>60</v>
      </c>
    </row>
    <row r="73" spans="1:18">
      <c r="A73">
        <v>213</v>
      </c>
      <c r="B73" s="11">
        <v>70</v>
      </c>
      <c r="E73">
        <v>215</v>
      </c>
      <c r="F73" s="11">
        <v>70</v>
      </c>
      <c r="J73">
        <v>215</v>
      </c>
      <c r="K73" s="11">
        <v>70</v>
      </c>
      <c r="M73">
        <v>203</v>
      </c>
      <c r="N73" s="11">
        <v>70</v>
      </c>
      <c r="O73" s="7"/>
      <c r="Q73" s="1">
        <v>203</v>
      </c>
      <c r="R73" s="1">
        <v>70</v>
      </c>
    </row>
    <row r="74" spans="1:18">
      <c r="A74">
        <v>168</v>
      </c>
      <c r="B74" s="11">
        <v>80</v>
      </c>
      <c r="E74">
        <v>171</v>
      </c>
      <c r="F74" s="11">
        <v>80</v>
      </c>
      <c r="J74">
        <v>171</v>
      </c>
      <c r="K74" s="11">
        <v>80</v>
      </c>
      <c r="M74">
        <v>154</v>
      </c>
      <c r="N74" s="11">
        <v>80</v>
      </c>
      <c r="O74" s="7"/>
      <c r="Q74" s="1">
        <v>154</v>
      </c>
      <c r="R74" s="1">
        <v>80</v>
      </c>
    </row>
    <row r="75" spans="1:18">
      <c r="A75">
        <v>124</v>
      </c>
      <c r="B75" s="11">
        <v>90</v>
      </c>
      <c r="E75">
        <v>128</v>
      </c>
      <c r="F75" s="11">
        <v>90</v>
      </c>
      <c r="J75">
        <v>128</v>
      </c>
      <c r="K75" s="11">
        <v>90</v>
      </c>
      <c r="M75">
        <v>104</v>
      </c>
      <c r="N75" s="11">
        <v>90</v>
      </c>
      <c r="O75" s="7"/>
      <c r="Q75" s="1">
        <v>104</v>
      </c>
      <c r="R75" s="1">
        <v>90</v>
      </c>
    </row>
    <row r="76" spans="1:18">
      <c r="A76">
        <v>81</v>
      </c>
      <c r="B76" s="11">
        <v>100</v>
      </c>
      <c r="E76">
        <v>85</v>
      </c>
      <c r="F76" s="11">
        <v>100</v>
      </c>
      <c r="J76">
        <v>85</v>
      </c>
      <c r="K76" s="11">
        <v>100</v>
      </c>
      <c r="M76" s="5">
        <v>57</v>
      </c>
      <c r="N76" s="11">
        <v>100</v>
      </c>
      <c r="O76" s="7"/>
      <c r="Q76" s="1">
        <v>57</v>
      </c>
      <c r="R76" s="1">
        <v>100</v>
      </c>
    </row>
    <row r="77" spans="1:18">
      <c r="A77" s="5"/>
      <c r="B77" s="6"/>
      <c r="E77" s="5"/>
      <c r="F77" s="6"/>
      <c r="J77" s="5"/>
      <c r="K77" s="6"/>
      <c r="M77" s="5"/>
      <c r="N77" s="6"/>
      <c r="O77" s="7"/>
    </row>
    <row r="78" spans="1:18">
      <c r="A78" s="5" t="s">
        <v>37</v>
      </c>
      <c r="B78" s="6">
        <f>SLOPE(B67:B76,A67:A76)</f>
        <v>-0.22589839768014963</v>
      </c>
      <c r="E78" s="5" t="s">
        <v>37</v>
      </c>
      <c r="F78" s="6">
        <f>SLOPE(F67:F76,E67:E76)</f>
        <v>-0.22999546036281193</v>
      </c>
      <c r="J78" s="5" t="s">
        <v>37</v>
      </c>
      <c r="K78" s="6">
        <f>SLOPE(K67:K76,J67:J76)</f>
        <v>-0.22983376030314109</v>
      </c>
      <c r="M78" s="5" t="s">
        <v>37</v>
      </c>
      <c r="N78" s="6">
        <f>SLOPE(N67:N76,M67:M76)</f>
        <v>-0.20207705013540278</v>
      </c>
      <c r="O78" s="7"/>
      <c r="Q78" s="1" t="s">
        <v>37</v>
      </c>
      <c r="R78" s="1">
        <v>-0.20207705013540278</v>
      </c>
    </row>
    <row r="79" spans="1:18">
      <c r="A79" s="8" t="s">
        <v>38</v>
      </c>
      <c r="B79" s="9">
        <f>INTERCEPT(B66:B76,A66:A76)</f>
        <v>118.07083263229777</v>
      </c>
      <c r="E79" s="8" t="s">
        <v>38</v>
      </c>
      <c r="F79" s="9">
        <f>INTERCEPT(F66:F76,E66:E76)</f>
        <v>119.4447279936599</v>
      </c>
      <c r="J79" s="8" t="s">
        <v>38</v>
      </c>
      <c r="K79" s="9">
        <f>INTERCEPT(K66:K76,J66:J76)</f>
        <v>119.42240301297045</v>
      </c>
      <c r="M79" s="8" t="s">
        <v>38</v>
      </c>
      <c r="N79" s="9">
        <f>INTERCEPT(N67:N76,M67:M76)</f>
        <v>111.19762764265552</v>
      </c>
      <c r="O79" s="10"/>
      <c r="Q79" s="1" t="s">
        <v>38</v>
      </c>
      <c r="R79" s="1">
        <v>111.19762764265552</v>
      </c>
    </row>
  </sheetData>
  <phoneticPr fontId="2" type="noConversion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221"/>
  <sheetViews>
    <sheetView workbookViewId="0">
      <selection activeCell="AK5" sqref="AK5"/>
    </sheetView>
  </sheetViews>
  <sheetFormatPr defaultColWidth="9.109375" defaultRowHeight="13.2"/>
  <cols>
    <col min="1" max="1" width="9.109375" style="89"/>
    <col min="2" max="2" width="9.6640625" style="18" customWidth="1"/>
    <col min="3" max="3" width="10.44140625" style="18" customWidth="1"/>
    <col min="4" max="5" width="9.109375" style="82"/>
    <col min="6" max="6" width="5.88671875" style="85" customWidth="1"/>
    <col min="7" max="7" width="16" style="85" customWidth="1"/>
    <col min="8" max="8" width="10.5546875" style="85" customWidth="1"/>
    <col min="9" max="16" width="10.88671875" style="85" customWidth="1"/>
    <col min="17" max="17" width="13.109375" style="85" customWidth="1"/>
    <col min="18" max="19" width="14.44140625" style="85" customWidth="1"/>
    <col min="20" max="20" width="14.109375" style="85" customWidth="1"/>
    <col min="21" max="21" width="12.88671875" style="85" customWidth="1"/>
    <col min="22" max="22" width="12.88671875" style="111" customWidth="1"/>
    <col min="23" max="23" width="12.88671875" style="85" customWidth="1"/>
    <col min="24" max="24" width="11.44140625" style="85" customWidth="1"/>
    <col min="25" max="33" width="14.6640625" style="85" customWidth="1"/>
    <col min="34" max="34" width="9.109375" style="85"/>
    <col min="35" max="35" width="14.5546875" style="112" customWidth="1"/>
    <col min="36" max="36" width="12.44140625" style="113" customWidth="1"/>
    <col min="37" max="38" width="13.44140625" style="112" customWidth="1"/>
    <col min="39" max="39" width="21.6640625" style="112" customWidth="1"/>
    <col min="40" max="41" width="13.44140625" style="112" customWidth="1"/>
    <col min="42" max="42" width="12.44140625" style="113" customWidth="1"/>
    <col min="43" max="43" width="10.88671875" style="112" customWidth="1"/>
    <col min="44" max="44" width="8.88671875"/>
    <col min="45" max="47" width="10.88671875" style="112" customWidth="1"/>
    <col min="48" max="48" width="12.44140625" style="113" customWidth="1"/>
    <col min="49" max="49" width="11.6640625" style="85" customWidth="1"/>
    <col min="50" max="50" width="12.44140625" style="85" customWidth="1"/>
    <col min="51" max="51" width="12.44140625" style="85" bestFit="1" customWidth="1"/>
    <col min="52" max="54" width="9.109375" style="85"/>
    <col min="55" max="55" width="11.44140625" style="85" customWidth="1"/>
    <col min="56" max="62" width="9.109375" style="85"/>
    <col min="63" max="16384" width="9.109375" style="18"/>
  </cols>
  <sheetData>
    <row r="1" spans="1:67" ht="13.8" thickBot="1">
      <c r="B1" s="275"/>
      <c r="D1" s="91"/>
      <c r="E1" s="91"/>
      <c r="F1" s="91"/>
      <c r="G1" s="275"/>
      <c r="H1" s="110" t="s">
        <v>39</v>
      </c>
      <c r="AM1" s="131"/>
    </row>
    <row r="2" spans="1:67" ht="14.4" thickTop="1" thickBot="1">
      <c r="B2" s="275"/>
      <c r="G2" s="275"/>
      <c r="AM2" s="130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6"/>
    </row>
    <row r="3" spans="1:67" ht="16.5" customHeight="1" thickTop="1" thickBot="1">
      <c r="A3" s="277" t="s">
        <v>40</v>
      </c>
      <c r="B3" s="278" t="s">
        <v>41</v>
      </c>
      <c r="C3" s="278" t="s">
        <v>42</v>
      </c>
      <c r="D3" s="279" t="s">
        <v>43</v>
      </c>
      <c r="E3" s="92" t="s">
        <v>80</v>
      </c>
      <c r="F3" s="96" t="s">
        <v>44</v>
      </c>
      <c r="G3" s="96" t="s">
        <v>4</v>
      </c>
      <c r="H3" s="93" t="s">
        <v>45</v>
      </c>
      <c r="I3" s="93" t="s">
        <v>35</v>
      </c>
      <c r="J3" s="94" t="s">
        <v>4</v>
      </c>
      <c r="K3" s="94" t="s">
        <v>46</v>
      </c>
      <c r="L3" s="94" t="s">
        <v>47</v>
      </c>
      <c r="M3" s="94" t="s">
        <v>48</v>
      </c>
      <c r="N3" s="95" t="s">
        <v>49</v>
      </c>
      <c r="O3" s="96" t="s">
        <v>50</v>
      </c>
      <c r="P3" s="94" t="s">
        <v>51</v>
      </c>
      <c r="Q3" s="94" t="s">
        <v>133</v>
      </c>
      <c r="R3" s="94" t="s">
        <v>77</v>
      </c>
      <c r="S3" s="94" t="s">
        <v>140</v>
      </c>
      <c r="T3" s="97" t="s">
        <v>73</v>
      </c>
      <c r="U3" s="93" t="s">
        <v>74</v>
      </c>
      <c r="V3" s="97" t="s">
        <v>73</v>
      </c>
      <c r="W3" s="93" t="s">
        <v>74</v>
      </c>
      <c r="X3" s="93" t="s">
        <v>52</v>
      </c>
      <c r="Y3" s="93" t="s">
        <v>76</v>
      </c>
      <c r="Z3" s="93" t="s">
        <v>53</v>
      </c>
      <c r="AA3" s="93" t="s">
        <v>118</v>
      </c>
      <c r="AB3" s="93" t="s">
        <v>118</v>
      </c>
      <c r="AC3" s="93" t="s">
        <v>118</v>
      </c>
      <c r="AD3" s="93" t="s">
        <v>122</v>
      </c>
      <c r="AE3" s="93" t="s">
        <v>122</v>
      </c>
      <c r="AF3" s="122" t="s">
        <v>127</v>
      </c>
      <c r="AG3" s="122" t="s">
        <v>79</v>
      </c>
      <c r="AH3" s="121" t="s">
        <v>124</v>
      </c>
      <c r="AI3" s="98"/>
      <c r="AJ3" s="99" t="s">
        <v>44</v>
      </c>
      <c r="AK3" s="128" t="s">
        <v>141</v>
      </c>
      <c r="AL3" s="128" t="s">
        <v>51</v>
      </c>
      <c r="AM3" s="128" t="s">
        <v>133</v>
      </c>
      <c r="AN3" s="128" t="s">
        <v>77</v>
      </c>
      <c r="AO3" s="128" t="s">
        <v>140</v>
      </c>
      <c r="AP3" s="162" t="s">
        <v>52</v>
      </c>
      <c r="AQ3" s="163" t="s">
        <v>142</v>
      </c>
      <c r="AS3" s="124"/>
      <c r="AT3" s="124"/>
      <c r="AU3" s="124"/>
      <c r="AV3" s="99"/>
      <c r="AW3" s="121"/>
      <c r="AX3" s="121"/>
      <c r="AY3" s="124"/>
      <c r="AZ3" s="124"/>
      <c r="BA3" s="99"/>
      <c r="BB3" s="121"/>
      <c r="BC3" s="121"/>
    </row>
    <row r="4" spans="1:67" ht="17.25" customHeight="1" thickTop="1" thickBot="1">
      <c r="A4" s="277"/>
      <c r="B4" s="278"/>
      <c r="C4" s="278"/>
      <c r="D4" s="279"/>
      <c r="E4" s="92"/>
      <c r="F4" s="161"/>
      <c r="G4" s="101"/>
      <c r="H4" s="100" t="s">
        <v>55</v>
      </c>
      <c r="I4" s="100" t="s">
        <v>56</v>
      </c>
      <c r="J4" s="100" t="s">
        <v>57</v>
      </c>
      <c r="K4" s="100" t="s">
        <v>57</v>
      </c>
      <c r="L4" s="100"/>
      <c r="M4" s="100"/>
      <c r="N4" s="100"/>
      <c r="O4" s="101"/>
      <c r="P4" s="100" t="s">
        <v>58</v>
      </c>
      <c r="Q4" s="100" t="s">
        <v>101</v>
      </c>
      <c r="R4" s="100" t="s">
        <v>134</v>
      </c>
      <c r="S4" s="100" t="s">
        <v>134</v>
      </c>
      <c r="T4" s="102" t="s">
        <v>59</v>
      </c>
      <c r="U4" s="100" t="s">
        <v>59</v>
      </c>
      <c r="V4" s="102" t="s">
        <v>60</v>
      </c>
      <c r="W4" s="100" t="s">
        <v>60</v>
      </c>
      <c r="X4" s="100" t="s">
        <v>61</v>
      </c>
      <c r="Y4" s="100" t="s">
        <v>75</v>
      </c>
      <c r="Z4" s="100" t="s">
        <v>62</v>
      </c>
      <c r="AA4" s="100" t="s">
        <v>119</v>
      </c>
      <c r="AB4" s="100" t="s">
        <v>126</v>
      </c>
      <c r="AC4" s="100" t="s">
        <v>120</v>
      </c>
      <c r="AD4" s="100" t="s">
        <v>119</v>
      </c>
      <c r="AE4" s="100" t="s">
        <v>126</v>
      </c>
      <c r="AF4" s="122"/>
      <c r="AG4" s="122"/>
      <c r="AI4" s="98"/>
      <c r="AJ4" s="99"/>
      <c r="AK4" s="129" t="s">
        <v>135</v>
      </c>
      <c r="AL4" s="129" t="s">
        <v>135</v>
      </c>
      <c r="AM4" s="129" t="s">
        <v>101</v>
      </c>
      <c r="AN4" s="129" t="s">
        <v>134</v>
      </c>
      <c r="AO4" s="129" t="s">
        <v>134</v>
      </c>
      <c r="AP4" s="164" t="s">
        <v>143</v>
      </c>
      <c r="AQ4" s="165" t="s">
        <v>143</v>
      </c>
      <c r="AY4" s="112"/>
      <c r="AZ4" s="112"/>
      <c r="BA4" s="113"/>
    </row>
    <row r="5" spans="1:67" s="105" customFormat="1" ht="16.649999999999999" customHeight="1" thickTop="1">
      <c r="A5" s="33">
        <v>45</v>
      </c>
      <c r="B5" s="16">
        <v>0.62526620370370367</v>
      </c>
      <c r="C5" s="16">
        <v>0.62822916666666673</v>
      </c>
      <c r="D5" s="16">
        <v>0.62725694444444446</v>
      </c>
      <c r="E5" s="34"/>
      <c r="F5" s="35">
        <v>1</v>
      </c>
      <c r="G5" s="36" t="s">
        <v>9</v>
      </c>
      <c r="H5" s="29">
        <v>1.6002000000000001</v>
      </c>
      <c r="I5" s="28">
        <v>101325</v>
      </c>
      <c r="J5" s="22">
        <v>285</v>
      </c>
      <c r="K5" s="22">
        <v>68</v>
      </c>
      <c r="L5" s="22">
        <v>141</v>
      </c>
      <c r="M5" s="22">
        <v>4.0999999999999996</v>
      </c>
      <c r="N5" s="22"/>
      <c r="O5" s="22">
        <v>193</v>
      </c>
      <c r="P5" s="22">
        <f>O5*Reference!$B$23+Reference!$B$24</f>
        <v>75.354798590478822</v>
      </c>
      <c r="Q5" s="132">
        <f>Reference!$L$20</f>
        <v>1162.2987427650205</v>
      </c>
      <c r="R5" s="133">
        <f>Reference!$W$20</f>
        <v>5.0085999999999999E-2</v>
      </c>
      <c r="S5" s="133">
        <f>Reference!$P$20</f>
        <v>1.0233583333333299E-2</v>
      </c>
      <c r="T5" s="22">
        <f>J5*Reference!$L$5</f>
        <v>171</v>
      </c>
      <c r="U5" s="22">
        <f t="shared" ref="U5:U16" si="0">T5</f>
        <v>171</v>
      </c>
      <c r="V5" s="22">
        <f>T5*Reference!$L$20/(60*10^3)</f>
        <v>3.3125514168803085</v>
      </c>
      <c r="W5" s="22">
        <f t="shared" ref="W5:W16" si="1">V5</f>
        <v>3.3125514168803085</v>
      </c>
      <c r="X5" s="22">
        <f>K5*Reference!$F$10+Reference!$F$11</f>
        <v>58.016276553281713</v>
      </c>
      <c r="Y5" s="19">
        <f t="shared" ref="Y5:Y36" si="2">(T5/(PI()/4*((H5/10)^2)*60))</f>
        <v>141.71194099172226</v>
      </c>
      <c r="Z5" s="19">
        <f t="shared" ref="Z5:Z36" si="3">X5/(T5/(PI()/4*((H5/10)^2)*60))</f>
        <v>0.40939582188540191</v>
      </c>
      <c r="AA5" s="114">
        <f>(Y5/100)*Reference!$L$20*(H5/1000)/(Reference!$W$20)</f>
        <v>52.623791015717202</v>
      </c>
      <c r="AB5" s="114">
        <f>(Y5/100)*Reference!$L$20*(H5/1000)/(Reference!$P$26)</f>
        <v>140.19761685176658</v>
      </c>
      <c r="AC5" s="114">
        <f>(Y5/100)*Reference!$L$20*(H5/1000)/(Reference!$P$20)</f>
        <v>257.55545354558637</v>
      </c>
      <c r="AD5" s="115">
        <f>AA5/(Reference!$R$20)</f>
        <v>825.76915617740042</v>
      </c>
      <c r="AE5" s="123">
        <f>AB5/(Reference!$R$20)</f>
        <v>2199.9720189521954</v>
      </c>
      <c r="AF5" s="123">
        <f>V5/(Reference!$R$20)</f>
        <v>51.980344545958673</v>
      </c>
      <c r="AG5" s="123">
        <f>Reference!$R$20</f>
        <v>6.3727000000000006E-2</v>
      </c>
      <c r="AH5" s="105">
        <f t="shared" ref="AH5:AH36" si="4">P5/H5</f>
        <v>47.090862761204114</v>
      </c>
      <c r="AI5" s="103"/>
      <c r="AJ5" s="166">
        <v>1</v>
      </c>
      <c r="AK5" s="24">
        <v>8.0009999999999999E-4</v>
      </c>
      <c r="AL5" s="24">
        <v>7.5354798590478819E-2</v>
      </c>
      <c r="AM5" s="24">
        <v>1162.2987427650205</v>
      </c>
      <c r="AN5" s="24">
        <v>5.0085999999999999E-2</v>
      </c>
      <c r="AO5" s="24">
        <v>1.0233583333333299E-2</v>
      </c>
      <c r="AP5" s="168">
        <v>0.58016276553281709</v>
      </c>
      <c r="AQ5" s="168">
        <v>2.8342388198344453</v>
      </c>
      <c r="AS5" s="134"/>
      <c r="AT5" s="136"/>
      <c r="AU5" s="104"/>
      <c r="AV5" s="104"/>
      <c r="AW5" s="104"/>
      <c r="AX5" s="135"/>
      <c r="BI5" s="22"/>
    </row>
    <row r="6" spans="1:67" s="105" customFormat="1" ht="16.649999999999999" customHeight="1" thickBot="1">
      <c r="A6" s="37">
        <v>45</v>
      </c>
      <c r="B6" s="38">
        <v>0.60912037037037037</v>
      </c>
      <c r="C6" s="15">
        <v>0.61670138888888892</v>
      </c>
      <c r="D6" s="15">
        <v>0.6096759259259259</v>
      </c>
      <c r="E6" s="27"/>
      <c r="F6" s="39">
        <v>2</v>
      </c>
      <c r="G6" s="28" t="s">
        <v>9</v>
      </c>
      <c r="H6" s="26">
        <v>1.6002000000000001</v>
      </c>
      <c r="I6" s="28">
        <v>101325</v>
      </c>
      <c r="J6" s="19">
        <v>207</v>
      </c>
      <c r="K6" s="19">
        <v>42</v>
      </c>
      <c r="L6" s="19">
        <v>99</v>
      </c>
      <c r="M6" s="19">
        <v>0.28000000000000003</v>
      </c>
      <c r="N6" s="19"/>
      <c r="O6" s="19">
        <v>286</v>
      </c>
      <c r="P6" s="19">
        <f>O6*Reference!$B$23+Reference!$B$24</f>
        <v>53.989152214468319</v>
      </c>
      <c r="Q6" s="132">
        <f>Reference!$L$20</f>
        <v>1162.2987427650205</v>
      </c>
      <c r="R6" s="133">
        <f>Reference!$W$20</f>
        <v>5.0085999999999999E-2</v>
      </c>
      <c r="S6" s="133">
        <f>Reference!$P$20</f>
        <v>1.0233583333333299E-2</v>
      </c>
      <c r="T6" s="19">
        <f>J6*Reference!$L$5</f>
        <v>124.19999999999999</v>
      </c>
      <c r="U6" s="19">
        <f t="shared" si="0"/>
        <v>124.19999999999999</v>
      </c>
      <c r="V6" s="19">
        <f>T6*Reference!$L$20/(60*10^3)</f>
        <v>2.4059583975235923</v>
      </c>
      <c r="W6" s="19">
        <f t="shared" si="1"/>
        <v>2.4059583975235923</v>
      </c>
      <c r="X6" s="19">
        <f>K6*Reference!$F$10+Reference!$F$11</f>
        <v>33.570676556049591</v>
      </c>
      <c r="Y6" s="19">
        <f t="shared" si="2"/>
        <v>102.9276202992509</v>
      </c>
      <c r="Z6" s="19">
        <f t="shared" si="3"/>
        <v>0.32615809496466047</v>
      </c>
      <c r="AA6" s="114">
        <f>(Y6/100)*Reference!$L$20*(H6/1000)/(Reference!$W$20)</f>
        <v>38.22149031667881</v>
      </c>
      <c r="AB6" s="114">
        <f>(Y6/100)*Reference!$L$20*(H6/1000)/(Reference!$P$26)</f>
        <v>101.82774276601994</v>
      </c>
      <c r="AC6" s="114">
        <f>(Y6/100)*Reference!$L$20*(H6/1000)/(Reference!$P$20)</f>
        <v>187.06659257521537</v>
      </c>
      <c r="AD6" s="115">
        <f>AA6/(Reference!$R$20)</f>
        <v>599.7691765920066</v>
      </c>
      <c r="AE6" s="123">
        <f>AB6/(Reference!$R$20)</f>
        <v>1597.8744137652789</v>
      </c>
      <c r="AF6" s="123">
        <f>V6/(Reference!$R$20)</f>
        <v>37.754144986012086</v>
      </c>
      <c r="AG6" s="123">
        <f>Reference!$R$20</f>
        <v>6.3727000000000006E-2</v>
      </c>
      <c r="AH6" s="105">
        <f t="shared" si="4"/>
        <v>33.739002758697858</v>
      </c>
      <c r="AI6" s="103"/>
      <c r="AJ6" s="166">
        <v>2</v>
      </c>
      <c r="AK6" s="24">
        <v>8.0009999999999999E-4</v>
      </c>
      <c r="AL6" s="24">
        <v>5.3989152214468317E-2</v>
      </c>
      <c r="AM6" s="24">
        <v>1162.2987427650205</v>
      </c>
      <c r="AN6" s="24">
        <v>5.0085999999999999E-2</v>
      </c>
      <c r="AO6" s="24">
        <v>1.0233583333333299E-2</v>
      </c>
      <c r="AP6" s="168">
        <v>0.33570676556049589</v>
      </c>
      <c r="AQ6" s="168">
        <v>2.0585524059850182</v>
      </c>
      <c r="AS6" s="134"/>
      <c r="AT6" s="136"/>
      <c r="AU6" s="104"/>
      <c r="AV6" s="104"/>
      <c r="AW6" s="104"/>
      <c r="AX6" s="135"/>
      <c r="BI6" s="19"/>
    </row>
    <row r="7" spans="1:67" s="105" customFormat="1" ht="16.649999999999999" customHeight="1" thickTop="1">
      <c r="A7" s="37">
        <v>45</v>
      </c>
      <c r="B7" s="86">
        <v>0.61813657407407407</v>
      </c>
      <c r="C7" s="86">
        <v>0.61957175925925922</v>
      </c>
      <c r="D7" s="15">
        <v>0.61842592592592593</v>
      </c>
      <c r="E7" s="67"/>
      <c r="F7" s="35">
        <v>3</v>
      </c>
      <c r="G7" s="28" t="s">
        <v>9</v>
      </c>
      <c r="H7" s="26">
        <v>1.6002000000000001</v>
      </c>
      <c r="I7" s="28">
        <v>101325</v>
      </c>
      <c r="J7" s="19">
        <v>211</v>
      </c>
      <c r="K7" s="19">
        <v>48</v>
      </c>
      <c r="L7" s="19">
        <v>48</v>
      </c>
      <c r="M7" s="19">
        <v>100</v>
      </c>
      <c r="N7" s="19"/>
      <c r="O7" s="19">
        <v>278</v>
      </c>
      <c r="P7" s="19">
        <f>O7*Reference!$B$23+Reference!$B$24</f>
        <v>55.827057279071376</v>
      </c>
      <c r="Q7" s="132">
        <f>Reference!$L$20</f>
        <v>1162.2987427650205</v>
      </c>
      <c r="R7" s="133">
        <f>Reference!$W$20</f>
        <v>5.0085999999999999E-2</v>
      </c>
      <c r="S7" s="133">
        <f>Reference!$P$20</f>
        <v>1.0233583333333299E-2</v>
      </c>
      <c r="T7" s="19">
        <f>J7*Reference!$L$5</f>
        <v>126.6</v>
      </c>
      <c r="U7" s="19">
        <f t="shared" si="0"/>
        <v>126.6</v>
      </c>
      <c r="V7" s="19">
        <f>T7*Reference!$L$20/(60*10^3)</f>
        <v>2.4524503472341932</v>
      </c>
      <c r="W7" s="19">
        <f t="shared" si="1"/>
        <v>2.4524503472341932</v>
      </c>
      <c r="X7" s="19">
        <f>K7*Reference!$F$10+Reference!$F$11</f>
        <v>39.211968863103159</v>
      </c>
      <c r="Y7" s="19">
        <f t="shared" si="2"/>
        <v>104.91655982194175</v>
      </c>
      <c r="Z7" s="19">
        <f t="shared" si="3"/>
        <v>0.37374432529670648</v>
      </c>
      <c r="AA7" s="114">
        <f>(Y7/100)*Reference!$L$20*(H7/1000)/(Reference!$W$20)</f>
        <v>38.960069839706421</v>
      </c>
      <c r="AB7" s="114">
        <f>(Y7/100)*Reference!$L$20*(H7/1000)/(Reference!$P$26)</f>
        <v>103.79542861657104</v>
      </c>
      <c r="AC7" s="114">
        <f>(Y7/100)*Reference!$L$20*(H7/1000)/(Reference!$P$20)</f>
        <v>190.68140595831133</v>
      </c>
      <c r="AD7" s="115">
        <f>AA7/(Reference!$R$20)</f>
        <v>611.35891913484738</v>
      </c>
      <c r="AE7" s="123">
        <f>AB7/(Reference!$R$20)</f>
        <v>1628.7512140312747</v>
      </c>
      <c r="AF7" s="123">
        <f>V7/(Reference!$R$20)</f>
        <v>38.483693681393959</v>
      </c>
      <c r="AG7" s="123">
        <f>Reference!$R$20</f>
        <v>6.3727000000000006E-2</v>
      </c>
      <c r="AH7" s="105">
        <f t="shared" si="4"/>
        <v>34.887549855687645</v>
      </c>
      <c r="AI7" s="103"/>
      <c r="AJ7" s="166">
        <v>3</v>
      </c>
      <c r="AK7" s="24">
        <v>8.0009999999999999E-4</v>
      </c>
      <c r="AL7" s="24">
        <v>5.5827057279071376E-2</v>
      </c>
      <c r="AM7" s="24">
        <v>1162.2987427650205</v>
      </c>
      <c r="AN7" s="24">
        <v>5.0085999999999999E-2</v>
      </c>
      <c r="AO7" s="24">
        <v>1.0233583333333299E-2</v>
      </c>
      <c r="AP7" s="168">
        <v>0.39211968863103158</v>
      </c>
      <c r="AQ7" s="168">
        <v>2.0983311964388349</v>
      </c>
      <c r="AS7" s="134"/>
      <c r="AT7" s="136"/>
      <c r="AU7" s="104"/>
      <c r="AV7" s="104"/>
      <c r="AW7" s="104"/>
      <c r="AX7" s="135"/>
      <c r="BI7" s="19"/>
    </row>
    <row r="8" spans="1:67" s="105" customFormat="1" ht="13.8" thickBot="1">
      <c r="A8" s="76">
        <v>168</v>
      </c>
      <c r="B8" s="74">
        <v>0.40917824074074072</v>
      </c>
      <c r="C8" s="75">
        <v>0.41018518518518521</v>
      </c>
      <c r="D8" s="74">
        <v>0.4100462962962963</v>
      </c>
      <c r="E8" s="67"/>
      <c r="F8" s="39">
        <v>4</v>
      </c>
      <c r="G8" s="77" t="s">
        <v>9</v>
      </c>
      <c r="H8" s="78">
        <v>1.6002000000000001</v>
      </c>
      <c r="I8" s="28">
        <v>101325</v>
      </c>
      <c r="J8" s="54">
        <v>209</v>
      </c>
      <c r="K8" s="54">
        <v>45</v>
      </c>
      <c r="L8" s="54">
        <v>96</v>
      </c>
      <c r="M8" s="79">
        <v>0.17361111111111113</v>
      </c>
      <c r="N8" s="19">
        <v>250</v>
      </c>
      <c r="O8" s="19">
        <v>271</v>
      </c>
      <c r="P8" s="19">
        <f>O8*Reference!$R$60+Reference!$R$61</f>
        <v>57.504493971454878</v>
      </c>
      <c r="Q8" s="132">
        <f>Reference!$L$20</f>
        <v>1162.2987427650205</v>
      </c>
      <c r="R8" s="133">
        <f>Reference!$W$20</f>
        <v>5.0085999999999999E-2</v>
      </c>
      <c r="S8" s="133">
        <f>Reference!$P$20</f>
        <v>1.0233583333333299E-2</v>
      </c>
      <c r="T8" s="19">
        <f>J8*Reference!$L$5</f>
        <v>125.39999999999999</v>
      </c>
      <c r="U8" s="19">
        <f t="shared" si="0"/>
        <v>125.39999999999999</v>
      </c>
      <c r="V8" s="19">
        <f>T8*Reference!$L$20/(60*10^3)</f>
        <v>2.4292043723788925</v>
      </c>
      <c r="W8" s="19">
        <f t="shared" si="1"/>
        <v>2.4292043723788925</v>
      </c>
      <c r="X8" s="19">
        <f>K8*Reference!$F$10+Reference!$F$11</f>
        <v>36.391322709576379</v>
      </c>
      <c r="Y8" s="19">
        <f t="shared" si="2"/>
        <v>103.92209006059632</v>
      </c>
      <c r="Z8" s="19">
        <f t="shared" si="3"/>
        <v>0.35017889544327707</v>
      </c>
      <c r="AA8" s="114">
        <f>(Y8/100)*Reference!$L$20*(H8/1000)/(Reference!$W$20)</f>
        <v>38.590780078192616</v>
      </c>
      <c r="AB8" s="114">
        <f>(Y8/100)*Reference!$L$20*(H8/1000)/(Reference!$P$26)</f>
        <v>102.81158569129549</v>
      </c>
      <c r="AC8" s="114">
        <f>(Y8/100)*Reference!$L$20*(H8/1000)/(Reference!$P$20)</f>
        <v>188.87399926676335</v>
      </c>
      <c r="AD8" s="115">
        <f>AA8/(Reference!$R$20)</f>
        <v>605.56404786342705</v>
      </c>
      <c r="AE8" s="123">
        <f>AB8/(Reference!$R$20)</f>
        <v>1613.3128138982768</v>
      </c>
      <c r="AF8" s="123">
        <f>V8/(Reference!$R$20)</f>
        <v>38.118919333703019</v>
      </c>
      <c r="AG8" s="123">
        <f>Reference!$R$20</f>
        <v>6.3727000000000006E-2</v>
      </c>
      <c r="AH8" s="105">
        <f t="shared" si="4"/>
        <v>35.935816755064913</v>
      </c>
      <c r="AI8" s="103"/>
      <c r="AJ8" s="166">
        <v>4</v>
      </c>
      <c r="AK8" s="24">
        <v>8.0009999999999999E-4</v>
      </c>
      <c r="AL8" s="24">
        <v>5.7504493971454879E-2</v>
      </c>
      <c r="AM8" s="24">
        <v>1162.2987427650205</v>
      </c>
      <c r="AN8" s="24">
        <v>5.0085999999999999E-2</v>
      </c>
      <c r="AO8" s="24">
        <v>1.0233583333333299E-2</v>
      </c>
      <c r="AP8" s="168">
        <v>0.36391322709576379</v>
      </c>
      <c r="AQ8" s="168">
        <v>2.0784418012119263</v>
      </c>
      <c r="AS8" s="134"/>
      <c r="AT8" s="136"/>
      <c r="AU8" s="104"/>
      <c r="AV8" s="104"/>
      <c r="AW8" s="104"/>
      <c r="AX8" s="135"/>
      <c r="BI8" s="19"/>
    </row>
    <row r="9" spans="1:67" s="105" customFormat="1" ht="16.649999999999999" customHeight="1" thickTop="1" thickBot="1">
      <c r="A9" s="40">
        <v>45</v>
      </c>
      <c r="B9" s="17">
        <v>0.65878472222222217</v>
      </c>
      <c r="C9" s="17">
        <v>0.65924768518518517</v>
      </c>
      <c r="D9" s="17">
        <v>0.65887731481481482</v>
      </c>
      <c r="E9" s="41"/>
      <c r="F9" s="35">
        <v>5</v>
      </c>
      <c r="G9" s="42" t="s">
        <v>9</v>
      </c>
      <c r="H9" s="43">
        <v>1.6002000000000001</v>
      </c>
      <c r="I9" s="28">
        <v>101325</v>
      </c>
      <c r="J9" s="21">
        <v>140</v>
      </c>
      <c r="K9" s="21">
        <v>26</v>
      </c>
      <c r="L9" s="21">
        <v>65</v>
      </c>
      <c r="M9" s="21">
        <v>4.0999999999999996</v>
      </c>
      <c r="N9" s="21"/>
      <c r="O9" s="21">
        <v>360</v>
      </c>
      <c r="P9" s="19">
        <f>O9*Reference!$B$23+Reference!$B$24</f>
        <v>36.988530366890075</v>
      </c>
      <c r="Q9" s="132">
        <f>Reference!$L$20</f>
        <v>1162.2987427650205</v>
      </c>
      <c r="R9" s="133">
        <f>Reference!$W$20</f>
        <v>5.0085999999999999E-2</v>
      </c>
      <c r="S9" s="133">
        <f>Reference!$P$20</f>
        <v>1.0233583333333299E-2</v>
      </c>
      <c r="T9" s="19">
        <f>J9*Reference!$L$5</f>
        <v>84</v>
      </c>
      <c r="U9" s="19">
        <f t="shared" si="0"/>
        <v>84</v>
      </c>
      <c r="V9" s="19">
        <f>T9*Reference!$L$20/(60*10^3)</f>
        <v>1.6272182398710289</v>
      </c>
      <c r="W9" s="19">
        <f t="shared" si="1"/>
        <v>1.6272182398710289</v>
      </c>
      <c r="X9" s="19">
        <f>K9*Reference!$F$10+Reference!$F$11</f>
        <v>18.527230403906753</v>
      </c>
      <c r="Y9" s="19">
        <f t="shared" si="2"/>
        <v>69.612883294179355</v>
      </c>
      <c r="Z9" s="19">
        <f t="shared" si="3"/>
        <v>0.26614657412783671</v>
      </c>
      <c r="AA9" s="114">
        <f>(Y9/100)*Reference!$L$20*(H9/1000)/(Reference!$W$20)</f>
        <v>25.850283305966347</v>
      </c>
      <c r="AB9" s="114">
        <f>(Y9/100)*Reference!$L$20*(H9/1000)/(Reference!$P$26)</f>
        <v>68.86900476928885</v>
      </c>
      <c r="AC9" s="114">
        <f>(Y9/100)*Reference!$L$20*(H9/1000)/(Reference!$P$20)</f>
        <v>126.51846840835823</v>
      </c>
      <c r="AD9" s="115">
        <f>AA9/(Reference!$R$20)</f>
        <v>405.64098899942479</v>
      </c>
      <c r="AE9" s="123">
        <f>AB9/(Reference!$R$20)</f>
        <v>1080.6880093098505</v>
      </c>
      <c r="AF9" s="123">
        <f>V9/(Reference!$R$20)</f>
        <v>25.534204338365665</v>
      </c>
      <c r="AG9" s="123">
        <f>Reference!$R$20</f>
        <v>6.3727000000000006E-2</v>
      </c>
      <c r="AH9" s="105">
        <f t="shared" si="4"/>
        <v>23.114942111542351</v>
      </c>
      <c r="AI9" s="103"/>
      <c r="AJ9" s="166">
        <v>5</v>
      </c>
      <c r="AK9" s="24">
        <v>8.0009999999999999E-4</v>
      </c>
      <c r="AL9" s="24">
        <v>3.6988530366890073E-2</v>
      </c>
      <c r="AM9" s="24">
        <v>1162.2987427650205</v>
      </c>
      <c r="AN9" s="24">
        <v>5.0085999999999999E-2</v>
      </c>
      <c r="AO9" s="24">
        <v>1.0233583333333299E-2</v>
      </c>
      <c r="AP9" s="168">
        <v>0.18527230403906753</v>
      </c>
      <c r="AQ9" s="168">
        <v>1.392257665883587</v>
      </c>
      <c r="AS9" s="134"/>
      <c r="AT9" s="136"/>
      <c r="AU9" s="104"/>
      <c r="AV9" s="104"/>
      <c r="AW9" s="104"/>
      <c r="AX9" s="135"/>
      <c r="BI9" s="19"/>
    </row>
    <row r="10" spans="1:67" s="105" customFormat="1" ht="16.649999999999999" customHeight="1" thickTop="1" thickBot="1">
      <c r="A10" s="40">
        <v>45</v>
      </c>
      <c r="B10" s="86">
        <v>0.72763888888888895</v>
      </c>
      <c r="C10" s="86">
        <v>0.72802083333333334</v>
      </c>
      <c r="D10" s="86">
        <v>0.72811342592592598</v>
      </c>
      <c r="E10" s="34"/>
      <c r="F10" s="39">
        <v>6</v>
      </c>
      <c r="G10" s="42" t="s">
        <v>9</v>
      </c>
      <c r="H10" s="53">
        <v>0.76200000000000001</v>
      </c>
      <c r="I10" s="28">
        <v>101325</v>
      </c>
      <c r="J10" s="22">
        <v>335</v>
      </c>
      <c r="K10" s="22">
        <v>25</v>
      </c>
      <c r="L10" s="22">
        <v>66</v>
      </c>
      <c r="M10" s="22">
        <v>4.0999999999999996</v>
      </c>
      <c r="N10" s="22">
        <v>250</v>
      </c>
      <c r="O10" s="22">
        <v>63</v>
      </c>
      <c r="P10" s="19">
        <f>O10*Reference!$B$23+Reference!$B$24</f>
        <v>105.22075589027845</v>
      </c>
      <c r="Q10" s="132">
        <f>Reference!$L$20</f>
        <v>1162.2987427650205</v>
      </c>
      <c r="R10" s="133">
        <f>Reference!$W$20</f>
        <v>5.0085999999999999E-2</v>
      </c>
      <c r="S10" s="133">
        <f>Reference!$P$20</f>
        <v>1.0233583333333299E-2</v>
      </c>
      <c r="T10" s="19">
        <f>J10*Reference!$L$5</f>
        <v>201</v>
      </c>
      <c r="U10" s="19">
        <f t="shared" si="0"/>
        <v>201</v>
      </c>
      <c r="V10" s="19">
        <f>T10*Reference!$L$20/(60*10^3)</f>
        <v>3.8937007882628185</v>
      </c>
      <c r="W10" s="19">
        <f t="shared" si="1"/>
        <v>3.8937007882628185</v>
      </c>
      <c r="X10" s="19">
        <f>K10*Reference!$F$10+Reference!$F$11</f>
        <v>17.587015019397825</v>
      </c>
      <c r="Y10" s="19">
        <f t="shared" si="2"/>
        <v>734.58995096182775</v>
      </c>
      <c r="Z10" s="19">
        <f t="shared" si="3"/>
        <v>2.3941268181480631E-2</v>
      </c>
      <c r="AA10" s="114">
        <f>(Y10/100)*Reference!$L$20*(H10/1000)/(Reference!$W$20)</f>
        <v>129.8976736124809</v>
      </c>
      <c r="AB10" s="114">
        <f>(Y10/100)*Reference!$L$20*(H10/1000)/(Reference!$P$26)</f>
        <v>346.06674896567654</v>
      </c>
      <c r="AC10" s="114">
        <f>(Y10/100)*Reference!$L$20*(H10/1000)/(Reference!$P$20)</f>
        <v>635.75530375200026</v>
      </c>
      <c r="AD10" s="115">
        <f>AA10/(Reference!$R$20)</f>
        <v>2038.3459697221097</v>
      </c>
      <c r="AE10" s="123">
        <f>AB10/(Reference!$R$20)</f>
        <v>5430.4572467819999</v>
      </c>
      <c r="AF10" s="123">
        <f>V10/(Reference!$R$20)</f>
        <v>61.099703238232117</v>
      </c>
      <c r="AG10" s="123">
        <f>Reference!$R$20</f>
        <v>6.3727000000000006E-2</v>
      </c>
      <c r="AH10" s="105">
        <f t="shared" si="4"/>
        <v>138.08498148330506</v>
      </c>
      <c r="AI10" s="103"/>
      <c r="AJ10" s="166">
        <v>6</v>
      </c>
      <c r="AK10" s="24">
        <v>3.8099999999999999E-4</v>
      </c>
      <c r="AL10" s="24">
        <v>0.10522075589027845</v>
      </c>
      <c r="AM10" s="24">
        <v>1162.2987427650205</v>
      </c>
      <c r="AN10" s="24">
        <v>5.0085999999999999E-2</v>
      </c>
      <c r="AO10" s="24">
        <v>1.0233583333333299E-2</v>
      </c>
      <c r="AP10" s="168">
        <v>0.17587015019397825</v>
      </c>
      <c r="AQ10" s="168">
        <v>14.691799019236555</v>
      </c>
      <c r="AS10" s="134"/>
      <c r="AT10" s="136"/>
      <c r="AU10" s="104"/>
      <c r="AV10" s="104"/>
      <c r="AW10" s="104"/>
      <c r="AX10" s="135"/>
      <c r="BL10" s="19"/>
    </row>
    <row r="11" spans="1:67" s="105" customFormat="1" ht="14.4" thickTop="1" thickBot="1">
      <c r="A11" s="45">
        <v>48</v>
      </c>
      <c r="B11" s="15">
        <v>0.70399305555555547</v>
      </c>
      <c r="C11" s="15">
        <v>0.70496527777777773</v>
      </c>
      <c r="D11" s="15">
        <v>0.70447916666666666</v>
      </c>
      <c r="E11" s="27"/>
      <c r="F11" s="35">
        <v>7</v>
      </c>
      <c r="G11" s="66" t="s">
        <v>13</v>
      </c>
      <c r="H11" s="26">
        <v>1.6002000000000001</v>
      </c>
      <c r="I11" s="28">
        <v>101325</v>
      </c>
      <c r="J11" s="19">
        <v>276</v>
      </c>
      <c r="K11" s="19">
        <v>54</v>
      </c>
      <c r="L11" s="19">
        <v>100</v>
      </c>
      <c r="M11" s="19">
        <v>1.73</v>
      </c>
      <c r="N11" s="19"/>
      <c r="O11" s="19">
        <v>216</v>
      </c>
      <c r="P11" s="19">
        <f>O11*Reference!$B$42+Reference!$B$43</f>
        <v>71.383567938857453</v>
      </c>
      <c r="Q11" s="132">
        <f>Reference!$L$21</f>
        <v>1826.8482485022037</v>
      </c>
      <c r="R11" s="133">
        <f>Reference!$W$21</f>
        <v>4.8845E-2</v>
      </c>
      <c r="S11" s="133">
        <f>Reference!$P$21</f>
        <v>8.1302787878787895E-3</v>
      </c>
      <c r="T11" s="19">
        <f>J11*Reference!$L$6</f>
        <v>99.36</v>
      </c>
      <c r="U11" s="19">
        <f t="shared" si="0"/>
        <v>99.36</v>
      </c>
      <c r="V11" s="19">
        <f>T11*Reference!$L$21/(60*10^3)</f>
        <v>3.0252606995196496</v>
      </c>
      <c r="W11" s="19">
        <f t="shared" si="1"/>
        <v>3.0252606995196496</v>
      </c>
      <c r="X11" s="19">
        <f>K11*Reference!$F$10+Reference!$F$11</f>
        <v>44.853261170156728</v>
      </c>
      <c r="Y11" s="19">
        <f t="shared" si="2"/>
        <v>82.342096239400732</v>
      </c>
      <c r="Z11" s="19">
        <f t="shared" si="3"/>
        <v>0.54471847595124034</v>
      </c>
      <c r="AA11" s="114">
        <f>(Y11/100)*Reference!$L$21*(H11/1000)/(Reference!$W$21)</f>
        <v>49.280890197886613</v>
      </c>
      <c r="AB11" s="114">
        <f>(Y11/100)*Reference!$L$21*(H11/1000)/(Reference!$P$26)</f>
        <v>128.03856817637083</v>
      </c>
      <c r="AC11" s="114">
        <f>(Y11/100)*Reference!$L$21*(H11/1000)/(Reference!$P$21)</f>
        <v>296.06919326118174</v>
      </c>
      <c r="AD11" s="115">
        <f>AA11/Reference!$R$21</f>
        <v>816.98411316031218</v>
      </c>
      <c r="AE11" s="123">
        <f>AB11/(Reference!$R$21)</f>
        <v>2122.6377131550771</v>
      </c>
      <c r="AF11" s="123">
        <f>V11/(Reference!$R$21)</f>
        <v>50.153110460285468</v>
      </c>
      <c r="AG11" s="123">
        <f>Reference!$R$21</f>
        <v>6.0320499999999999E-2</v>
      </c>
      <c r="AH11" s="105">
        <f t="shared" si="4"/>
        <v>44.609153817558713</v>
      </c>
      <c r="AI11" s="103"/>
      <c r="AJ11" s="166">
        <v>7</v>
      </c>
      <c r="AK11" s="24">
        <v>8.0009999999999999E-4</v>
      </c>
      <c r="AL11" s="24">
        <v>7.1383567938857459E-2</v>
      </c>
      <c r="AM11" s="24">
        <v>1826.8482485022037</v>
      </c>
      <c r="AN11" s="24">
        <v>4.8845E-2</v>
      </c>
      <c r="AO11" s="24">
        <v>8.1302787878787895E-3</v>
      </c>
      <c r="AP11" s="168">
        <v>0.44853261170156727</v>
      </c>
      <c r="AQ11" s="168">
        <v>1.6468419247880146</v>
      </c>
      <c r="AS11" s="134"/>
      <c r="AT11" s="136"/>
      <c r="AU11" s="104"/>
      <c r="AV11" s="104"/>
      <c r="AW11" s="104"/>
      <c r="AX11" s="135"/>
      <c r="BI11" s="19"/>
      <c r="BL11" s="19"/>
    </row>
    <row r="12" spans="1:67" s="105" customFormat="1" ht="16.5" customHeight="1" thickTop="1" thickBot="1">
      <c r="A12" s="47">
        <v>48</v>
      </c>
      <c r="B12" s="17">
        <v>0.71621527777777771</v>
      </c>
      <c r="C12" s="17">
        <v>0.71774305555555562</v>
      </c>
      <c r="D12" s="17">
        <v>0.71675925925925921</v>
      </c>
      <c r="E12" s="41"/>
      <c r="F12" s="39">
        <v>8</v>
      </c>
      <c r="G12" s="46" t="s">
        <v>13</v>
      </c>
      <c r="H12" s="43">
        <v>1.6002000000000001</v>
      </c>
      <c r="I12" s="28">
        <v>101325</v>
      </c>
      <c r="J12" s="21">
        <v>230</v>
      </c>
      <c r="K12" s="21">
        <v>45</v>
      </c>
      <c r="L12" s="21">
        <v>85</v>
      </c>
      <c r="M12" s="21">
        <v>1.43</v>
      </c>
      <c r="N12" s="21"/>
      <c r="O12" s="21">
        <v>260</v>
      </c>
      <c r="P12" s="19">
        <f>O12*Reference!$B$42+Reference!$B$43</f>
        <v>61.119455328205881</v>
      </c>
      <c r="Q12" s="132">
        <f>Reference!$L$21</f>
        <v>1826.8482485022037</v>
      </c>
      <c r="R12" s="133">
        <f>Reference!$W$21</f>
        <v>4.8845E-2</v>
      </c>
      <c r="S12" s="133">
        <f>Reference!$P$21</f>
        <v>8.1302787878787895E-3</v>
      </c>
      <c r="T12" s="19">
        <f>J12*Reference!$L$6</f>
        <v>82.8</v>
      </c>
      <c r="U12" s="19">
        <f t="shared" si="0"/>
        <v>82.8</v>
      </c>
      <c r="V12" s="19">
        <f>T12*Reference!$L$21/(60*10^3)</f>
        <v>2.5210505829330407</v>
      </c>
      <c r="W12" s="19">
        <f t="shared" si="1"/>
        <v>2.5210505829330407</v>
      </c>
      <c r="X12" s="19">
        <f>K12*Reference!$F$10+Reference!$F$11</f>
        <v>36.391322709576379</v>
      </c>
      <c r="Y12" s="19">
        <f t="shared" si="2"/>
        <v>68.618413532833941</v>
      </c>
      <c r="Z12" s="19">
        <f t="shared" si="3"/>
        <v>0.53034339962061516</v>
      </c>
      <c r="AA12" s="114">
        <f>(Y12/100)*Reference!$L$21*(H12/1000)/(Reference!$W$21)</f>
        <v>41.067408498238855</v>
      </c>
      <c r="AB12" s="114">
        <f>(Y12/100)*Reference!$L$21*(H12/1000)/(Reference!$P$26)</f>
        <v>106.69880681364238</v>
      </c>
      <c r="AC12" s="114">
        <f>(Y12/100)*Reference!$L$21*(H12/1000)/(Reference!$P$21)</f>
        <v>246.72432771765151</v>
      </c>
      <c r="AD12" s="115">
        <f>AA12/Reference!$R$21</f>
        <v>680.82009430026039</v>
      </c>
      <c r="AE12" s="123">
        <f>AB12/(Reference!$R$21)</f>
        <v>1768.8647609625646</v>
      </c>
      <c r="AF12" s="123">
        <f>V12/(Reference!$R$21)</f>
        <v>41.794258716904551</v>
      </c>
      <c r="AG12" s="123">
        <f>Reference!$R$21</f>
        <v>6.0320499999999999E-2</v>
      </c>
      <c r="AH12" s="105">
        <f t="shared" si="4"/>
        <v>38.194885219476241</v>
      </c>
      <c r="AI12" s="103"/>
      <c r="AJ12" s="166">
        <v>8</v>
      </c>
      <c r="AK12" s="24">
        <v>8.0009999999999999E-4</v>
      </c>
      <c r="AL12" s="24">
        <v>6.1119455328205882E-2</v>
      </c>
      <c r="AM12" s="24">
        <v>1826.8482485022037</v>
      </c>
      <c r="AN12" s="24">
        <v>4.8845E-2</v>
      </c>
      <c r="AO12" s="24">
        <v>8.1302787878787895E-3</v>
      </c>
      <c r="AP12" s="168">
        <v>0.36391322709576379</v>
      </c>
      <c r="AQ12" s="168">
        <v>1.3723682706566789</v>
      </c>
      <c r="AS12" s="134"/>
      <c r="AT12" s="136"/>
      <c r="AU12" s="104"/>
      <c r="AV12" s="104"/>
      <c r="AW12" s="104"/>
      <c r="AX12" s="135"/>
      <c r="BI12" s="19"/>
      <c r="BL12" s="19"/>
    </row>
    <row r="13" spans="1:67" s="105" customFormat="1" ht="16.649999999999999" customHeight="1" thickTop="1" thickBot="1">
      <c r="A13" s="45">
        <v>48</v>
      </c>
      <c r="B13" s="48">
        <v>0.73932870370370374</v>
      </c>
      <c r="C13" s="48">
        <v>0.74075231481481474</v>
      </c>
      <c r="D13" s="49">
        <v>0.7397800925925927</v>
      </c>
      <c r="E13" s="50"/>
      <c r="F13" s="35">
        <v>9</v>
      </c>
      <c r="G13" s="51" t="s">
        <v>13</v>
      </c>
      <c r="H13" s="26">
        <v>1.6002000000000001</v>
      </c>
      <c r="I13" s="28">
        <v>101325</v>
      </c>
      <c r="J13" s="19">
        <v>164</v>
      </c>
      <c r="K13" s="19">
        <v>30</v>
      </c>
      <c r="L13" s="19">
        <v>65</v>
      </c>
      <c r="M13" s="19">
        <v>1</v>
      </c>
      <c r="N13" s="19"/>
      <c r="O13" s="19">
        <v>325</v>
      </c>
      <c r="P13" s="19">
        <f>O13*Reference!$N$78+Reference!$N$79</f>
        <v>45.522586348649611</v>
      </c>
      <c r="Q13" s="132">
        <f>Reference!$L$21</f>
        <v>1826.8482485022037</v>
      </c>
      <c r="R13" s="133">
        <f>Reference!$W$21</f>
        <v>4.8845E-2</v>
      </c>
      <c r="S13" s="133">
        <f>Reference!$P$21</f>
        <v>8.1302787878787895E-3</v>
      </c>
      <c r="T13" s="19">
        <f>J13*Reference!$L$6</f>
        <v>59.04</v>
      </c>
      <c r="U13" s="19">
        <f t="shared" si="0"/>
        <v>59.04</v>
      </c>
      <c r="V13" s="19">
        <f>T13*Reference!$L$21/(60*10^3)</f>
        <v>1.7976186765261684</v>
      </c>
      <c r="W13" s="19">
        <f t="shared" si="1"/>
        <v>1.7976186765261684</v>
      </c>
      <c r="X13" s="19">
        <f>K13*Reference!$F$10+Reference!$F$11</f>
        <v>22.288091941942461</v>
      </c>
      <c r="Y13" s="19">
        <f t="shared" si="2"/>
        <v>48.927912258194631</v>
      </c>
      <c r="Z13" s="19">
        <f t="shared" si="3"/>
        <v>0.45552918392117925</v>
      </c>
      <c r="AA13" s="114">
        <f>(Y13/100)*Reference!$L$21*(H13/1000)/(Reference!$W$21)</f>
        <v>29.282847798744218</v>
      </c>
      <c r="AB13" s="114">
        <f>(Y13/100)*Reference!$L$21*(H13/1000)/(Reference!$P$26)</f>
        <v>76.080888336684112</v>
      </c>
      <c r="AC13" s="114">
        <f>(Y13/100)*Reference!$L$21*(H13/1000)/(Reference!$P$21)</f>
        <v>175.92517280736882</v>
      </c>
      <c r="AD13" s="115">
        <f>AA13/Reference!$R$21</f>
        <v>485.45432810975069</v>
      </c>
      <c r="AE13" s="123">
        <f>AB13/(Reference!$R$21)</f>
        <v>1261.2774817298284</v>
      </c>
      <c r="AF13" s="123">
        <f>V13/(Reference!$R$21)</f>
        <v>29.801123606836288</v>
      </c>
      <c r="AG13" s="123">
        <f>Reference!$R$21</f>
        <v>6.0320499999999999E-2</v>
      </c>
      <c r="AH13" s="105">
        <f t="shared" si="4"/>
        <v>28.448060460348461</v>
      </c>
      <c r="AI13" s="103"/>
      <c r="AJ13" s="166">
        <v>9</v>
      </c>
      <c r="AK13" s="24">
        <v>8.0009999999999999E-4</v>
      </c>
      <c r="AL13" s="24">
        <v>4.5522586348649613E-2</v>
      </c>
      <c r="AM13" s="24">
        <v>1826.8482485022037</v>
      </c>
      <c r="AN13" s="24">
        <v>4.8845E-2</v>
      </c>
      <c r="AO13" s="24">
        <v>8.1302787878787895E-3</v>
      </c>
      <c r="AP13" s="168">
        <v>0.22288091941942462</v>
      </c>
      <c r="AQ13" s="168">
        <v>0.97855824516389267</v>
      </c>
      <c r="AS13" s="134"/>
      <c r="AT13" s="136"/>
      <c r="AU13" s="104"/>
      <c r="AV13" s="104"/>
      <c r="AW13" s="104"/>
      <c r="AX13" s="135"/>
      <c r="BI13" s="19"/>
      <c r="BL13" s="19"/>
      <c r="BM13" s="85"/>
      <c r="BN13" s="85"/>
      <c r="BO13" s="18"/>
    </row>
    <row r="14" spans="1:67" s="105" customFormat="1" ht="16.649999999999999" customHeight="1" thickTop="1" thickBot="1">
      <c r="A14" s="52">
        <v>52</v>
      </c>
      <c r="B14" s="15">
        <v>0.48531249999999998</v>
      </c>
      <c r="C14" s="15">
        <v>0.4866435185185185</v>
      </c>
      <c r="D14" s="15">
        <v>0.48574074074074075</v>
      </c>
      <c r="E14" s="34"/>
      <c r="F14" s="39">
        <v>10</v>
      </c>
      <c r="G14" s="51" t="s">
        <v>13</v>
      </c>
      <c r="H14" s="53">
        <v>0.76200000000000001</v>
      </c>
      <c r="I14" s="28">
        <v>101325</v>
      </c>
      <c r="J14" s="19">
        <v>350</v>
      </c>
      <c r="K14" s="19">
        <v>42</v>
      </c>
      <c r="L14" s="19">
        <v>85</v>
      </c>
      <c r="M14" s="19">
        <v>4.0999999999999996</v>
      </c>
      <c r="N14" s="19">
        <v>250</v>
      </c>
      <c r="O14" s="19">
        <v>62</v>
      </c>
      <c r="P14" s="19">
        <f>O14*Reference!$F$42+Reference!$F$43</f>
        <v>105.45049402335384</v>
      </c>
      <c r="Q14" s="132">
        <f>Reference!$L$21</f>
        <v>1826.8482485022037</v>
      </c>
      <c r="R14" s="133">
        <f>Reference!$W$21</f>
        <v>4.8845E-2</v>
      </c>
      <c r="S14" s="133">
        <f>Reference!$P$21</f>
        <v>8.1302787878787895E-3</v>
      </c>
      <c r="T14" s="19">
        <f>J14*Reference!$L$6</f>
        <v>126</v>
      </c>
      <c r="U14" s="19">
        <f t="shared" si="0"/>
        <v>126</v>
      </c>
      <c r="V14" s="19">
        <f>T14*Reference!$L$21/(60*10^3)</f>
        <v>3.8363813218546277</v>
      </c>
      <c r="W14" s="19">
        <f t="shared" si="1"/>
        <v>3.8363813218546277</v>
      </c>
      <c r="X14" s="19">
        <f>K14*Reference!$F$10+Reference!$F$11</f>
        <v>33.570676556049591</v>
      </c>
      <c r="Y14" s="19">
        <f t="shared" si="2"/>
        <v>460.4892229909965</v>
      </c>
      <c r="Z14" s="19">
        <f t="shared" si="3"/>
        <v>7.2902198097057239E-2</v>
      </c>
      <c r="AA14" s="114">
        <f>(Y14/100)*Reference!$L$21*(H14/1000)/(Reference!$W$21)</f>
        <v>131.23715324437197</v>
      </c>
      <c r="AB14" s="114">
        <f>(Y14/100)*Reference!$L$21*(H14/1000)/(Reference!$P$26)</f>
        <v>340.97227394794407</v>
      </c>
      <c r="AC14" s="114">
        <f>(Y14/100)*Reference!$L$21*(H14/1000)/(Reference!$P$21)</f>
        <v>788.44513422814703</v>
      </c>
      <c r="AD14" s="115">
        <f>AA14/Reference!$R$21</f>
        <v>2175.66421439431</v>
      </c>
      <c r="AE14" s="123">
        <f>AB14/(Reference!$R$21)</f>
        <v>5652.6765187281953</v>
      </c>
      <c r="AF14" s="123">
        <f>V14/(Reference!$R$21)</f>
        <v>63.599958917028665</v>
      </c>
      <c r="AG14" s="123">
        <f>Reference!$R$21</f>
        <v>6.0320499999999999E-2</v>
      </c>
      <c r="AH14" s="105">
        <f t="shared" si="4"/>
        <v>138.38647509626489</v>
      </c>
      <c r="AI14" s="103"/>
      <c r="AJ14" s="166">
        <v>10</v>
      </c>
      <c r="AK14" s="24">
        <v>3.8099999999999999E-4</v>
      </c>
      <c r="AL14" s="24">
        <v>0.10545049402335384</v>
      </c>
      <c r="AM14" s="24">
        <v>1826.8482485022037</v>
      </c>
      <c r="AN14" s="24">
        <v>4.8845E-2</v>
      </c>
      <c r="AO14" s="24">
        <v>8.1302787878787895E-3</v>
      </c>
      <c r="AP14" s="168">
        <v>0.33570676556049589</v>
      </c>
      <c r="AQ14" s="168">
        <v>9.2097844598199305</v>
      </c>
      <c r="AS14" s="134"/>
      <c r="AT14" s="136"/>
      <c r="AU14" s="104"/>
      <c r="AV14" s="104"/>
      <c r="AW14" s="104"/>
      <c r="AX14" s="135"/>
      <c r="BL14" s="19"/>
      <c r="BM14" s="19"/>
    </row>
    <row r="15" spans="1:67" s="105" customFormat="1" ht="14.4" thickTop="1" thickBot="1">
      <c r="A15" s="44">
        <v>52</v>
      </c>
      <c r="B15" s="15">
        <v>0.48807870370370371</v>
      </c>
      <c r="C15" s="15">
        <v>0.48913194444444441</v>
      </c>
      <c r="D15" s="15">
        <v>0.48825231481481479</v>
      </c>
      <c r="E15" s="27"/>
      <c r="F15" s="35">
        <v>11</v>
      </c>
      <c r="G15" s="51" t="s">
        <v>13</v>
      </c>
      <c r="H15" s="53">
        <v>0.76200000000000001</v>
      </c>
      <c r="I15" s="28">
        <v>101325</v>
      </c>
      <c r="J15" s="19">
        <v>240</v>
      </c>
      <c r="K15" s="19">
        <v>29</v>
      </c>
      <c r="L15" s="19">
        <v>66</v>
      </c>
      <c r="M15" s="19">
        <v>4.0999999999999996</v>
      </c>
      <c r="N15" s="19">
        <v>250</v>
      </c>
      <c r="O15" s="19">
        <v>192</v>
      </c>
      <c r="P15" s="19">
        <f>O15*Reference!$F$42+Reference!$F$43</f>
        <v>75.584536723554208</v>
      </c>
      <c r="Q15" s="132">
        <f>Reference!$L$21</f>
        <v>1826.8482485022037</v>
      </c>
      <c r="R15" s="133">
        <f>Reference!$W$21</f>
        <v>4.8845E-2</v>
      </c>
      <c r="S15" s="133">
        <f>Reference!$P$21</f>
        <v>8.1302787878787895E-3</v>
      </c>
      <c r="T15" s="19">
        <f>J15*Reference!$L$6</f>
        <v>86.399999999999991</v>
      </c>
      <c r="U15" s="19">
        <f t="shared" si="0"/>
        <v>86.399999999999991</v>
      </c>
      <c r="V15" s="19">
        <f>T15*Reference!$L$21/(60*10^3)</f>
        <v>2.6306614778431729</v>
      </c>
      <c r="W15" s="19">
        <f t="shared" si="1"/>
        <v>2.6306614778431729</v>
      </c>
      <c r="X15" s="19">
        <f>K15*Reference!$F$10+Reference!$F$11</f>
        <v>21.347876557433533</v>
      </c>
      <c r="Y15" s="19">
        <f t="shared" si="2"/>
        <v>315.76403862239755</v>
      </c>
      <c r="Z15" s="19">
        <f t="shared" si="3"/>
        <v>6.7607054465635724E-2</v>
      </c>
      <c r="AA15" s="114">
        <f>(Y15/100)*Reference!$L$21*(H15/1000)/(Reference!$W$21)</f>
        <v>89.991190796140771</v>
      </c>
      <c r="AB15" s="114">
        <f>(Y15/100)*Reference!$L$21*(H15/1000)/(Reference!$P$26)</f>
        <v>233.8095592785902</v>
      </c>
      <c r="AC15" s="114">
        <f>(Y15/100)*Reference!$L$21*(H15/1000)/(Reference!$P$21)</f>
        <v>540.64809204215794</v>
      </c>
      <c r="AD15" s="115">
        <f>AA15/Reference!$R$21</f>
        <v>1491.8840327275266</v>
      </c>
      <c r="AE15" s="123">
        <f>AB15/(Reference!$R$21)</f>
        <v>3876.121041413619</v>
      </c>
      <c r="AF15" s="123">
        <f>V15/(Reference!$R$21)</f>
        <v>43.611400400248222</v>
      </c>
      <c r="AG15" s="123">
        <f>Reference!$R$21</f>
        <v>6.0320499999999999E-2</v>
      </c>
      <c r="AH15" s="105">
        <f t="shared" si="4"/>
        <v>99.192305411488462</v>
      </c>
      <c r="AI15" s="103"/>
      <c r="AJ15" s="166">
        <v>11</v>
      </c>
      <c r="AK15" s="24">
        <v>3.8099999999999999E-4</v>
      </c>
      <c r="AL15" s="24">
        <v>7.558453672355421E-2</v>
      </c>
      <c r="AM15" s="24">
        <v>1826.8482485022037</v>
      </c>
      <c r="AN15" s="24">
        <v>4.8845E-2</v>
      </c>
      <c r="AO15" s="24">
        <v>8.1302787878787895E-3</v>
      </c>
      <c r="AP15" s="168">
        <v>0.21347876557433534</v>
      </c>
      <c r="AQ15" s="168">
        <v>6.3152807724479514</v>
      </c>
      <c r="AS15" s="134"/>
      <c r="AT15" s="136"/>
      <c r="AU15" s="104"/>
      <c r="AV15" s="104"/>
      <c r="AW15" s="104"/>
      <c r="AX15" s="135"/>
      <c r="BL15" s="19"/>
      <c r="BM15" s="19"/>
    </row>
    <row r="16" spans="1:67" s="105" customFormat="1" ht="14.4" thickTop="1" thickBot="1">
      <c r="A16" s="44">
        <v>52</v>
      </c>
      <c r="B16" s="15">
        <v>0.49276620370370372</v>
      </c>
      <c r="C16" s="15">
        <v>0.49356481481481485</v>
      </c>
      <c r="D16" s="15">
        <v>0.49285879629629631</v>
      </c>
      <c r="E16" s="27"/>
      <c r="F16" s="39">
        <v>12</v>
      </c>
      <c r="G16" s="51" t="s">
        <v>13</v>
      </c>
      <c r="H16" s="53">
        <v>0.76200000000000001</v>
      </c>
      <c r="I16" s="28">
        <v>101325</v>
      </c>
      <c r="J16" s="19">
        <v>206</v>
      </c>
      <c r="K16" s="19">
        <v>24</v>
      </c>
      <c r="L16" s="19">
        <v>57</v>
      </c>
      <c r="M16" s="19">
        <v>4.0999999999999996</v>
      </c>
      <c r="N16" s="19">
        <v>50</v>
      </c>
      <c r="O16" s="19">
        <v>241</v>
      </c>
      <c r="P16" s="19">
        <f>O16*Reference!$F$42+Reference!$F$43</f>
        <v>64.327368202860498</v>
      </c>
      <c r="Q16" s="132">
        <f>Reference!$L$21</f>
        <v>1826.8482485022037</v>
      </c>
      <c r="R16" s="133">
        <f>Reference!$W$21</f>
        <v>4.8845E-2</v>
      </c>
      <c r="S16" s="133">
        <f>Reference!$P$21</f>
        <v>8.1302787878787895E-3</v>
      </c>
      <c r="T16" s="19">
        <f>J16*Reference!$L$6</f>
        <v>74.16</v>
      </c>
      <c r="U16" s="19">
        <f t="shared" si="0"/>
        <v>74.16</v>
      </c>
      <c r="V16" s="19">
        <f>T16*Reference!$L$21/(60*10^3)</f>
        <v>2.2579844351487233</v>
      </c>
      <c r="W16" s="19">
        <f t="shared" si="1"/>
        <v>2.2579844351487233</v>
      </c>
      <c r="X16" s="19">
        <f>K16*Reference!$F$10+Reference!$F$11</f>
        <v>16.646799634888897</v>
      </c>
      <c r="Y16" s="19">
        <f t="shared" si="2"/>
        <v>271.03079981755792</v>
      </c>
      <c r="Z16" s="19">
        <f t="shared" si="3"/>
        <v>6.142032435462888E-2</v>
      </c>
      <c r="AA16" s="114">
        <f>(Y16/100)*Reference!$L$21*(H16/1000)/(Reference!$W$21)</f>
        <v>77.242438766687499</v>
      </c>
      <c r="AB16" s="114">
        <f>(Y16/100)*Reference!$L$21*(H16/1000)/(Reference!$P$26)</f>
        <v>200.68653838078993</v>
      </c>
      <c r="AC16" s="114">
        <f>(Y16/100)*Reference!$L$21*(H16/1000)/(Reference!$P$21)</f>
        <v>464.05627900285225</v>
      </c>
      <c r="AD16" s="115">
        <f>AA16/Reference!$R$21</f>
        <v>1280.5337947577939</v>
      </c>
      <c r="AE16" s="123">
        <f>AB16/(Reference!$R$21)</f>
        <v>3327.003893880023</v>
      </c>
      <c r="AF16" s="123">
        <f>V16/(Reference!$R$21)</f>
        <v>37.433118676879722</v>
      </c>
      <c r="AG16" s="123">
        <f>Reference!$R$21</f>
        <v>6.0320499999999999E-2</v>
      </c>
      <c r="AH16" s="105">
        <f t="shared" si="4"/>
        <v>84.419118376457348</v>
      </c>
      <c r="AI16" s="103"/>
      <c r="AJ16" s="166">
        <v>12</v>
      </c>
      <c r="AK16" s="24">
        <v>3.8099999999999999E-4</v>
      </c>
      <c r="AL16" s="24">
        <v>6.4327368202860502E-2</v>
      </c>
      <c r="AM16" s="24">
        <v>1826.8482485022037</v>
      </c>
      <c r="AN16" s="24">
        <v>4.8845E-2</v>
      </c>
      <c r="AO16" s="24">
        <v>8.1302787878787895E-3</v>
      </c>
      <c r="AP16" s="168">
        <v>0.16646799634888898</v>
      </c>
      <c r="AQ16" s="168">
        <v>5.4206159963511586</v>
      </c>
      <c r="AS16" s="134"/>
      <c r="AT16" s="136"/>
      <c r="AU16" s="104"/>
      <c r="AV16" s="104"/>
      <c r="AW16" s="104"/>
      <c r="AX16" s="135"/>
      <c r="BL16" s="19"/>
      <c r="BM16" s="19"/>
    </row>
    <row r="17" spans="1:64" s="105" customFormat="1" ht="13.8" thickTop="1">
      <c r="A17" s="44">
        <v>52</v>
      </c>
      <c r="B17" s="17">
        <v>0.67644675925925923</v>
      </c>
      <c r="C17" s="17">
        <v>0.67743055555555554</v>
      </c>
      <c r="D17" s="15">
        <v>0.67650462962962965</v>
      </c>
      <c r="E17" s="34"/>
      <c r="F17" s="35">
        <v>13</v>
      </c>
      <c r="G17" s="106" t="s">
        <v>63</v>
      </c>
      <c r="H17" s="43">
        <v>1.6002000000000001</v>
      </c>
      <c r="I17" s="28">
        <v>101325</v>
      </c>
      <c r="J17" s="21">
        <v>149</v>
      </c>
      <c r="K17" s="21">
        <v>75</v>
      </c>
      <c r="L17" s="21">
        <v>139</v>
      </c>
      <c r="M17" s="21">
        <v>3.05</v>
      </c>
      <c r="N17" s="21">
        <v>250</v>
      </c>
      <c r="O17" s="21">
        <v>357</v>
      </c>
      <c r="P17" s="19">
        <f>O17*Reference!$F$42+Reference!$F$43</f>
        <v>37.67774476611622</v>
      </c>
      <c r="Q17" s="132">
        <f>Reference!$L$23</f>
        <v>1597.6014559448304</v>
      </c>
      <c r="R17" s="133">
        <f>Reference!$W$23</f>
        <v>4.9485000000000001E-2</v>
      </c>
      <c r="S17" s="133">
        <f>Reference!$P$23</f>
        <v>1.0535336114857199E-2</v>
      </c>
      <c r="T17" s="19">
        <f>J17*Reference!$L$8</f>
        <v>71.659824046920818</v>
      </c>
      <c r="U17" s="19">
        <f t="shared" ref="U17:U22" si="5">T17*0.75</f>
        <v>53.744868035190613</v>
      </c>
      <c r="V17" s="19">
        <f>T17*Reference!$L$23/(60*10^3)</f>
        <v>1.9080639871685179</v>
      </c>
      <c r="W17" s="19">
        <f>U17*Reference!$L$22/(60*1000)</f>
        <v>1.5616898136843498</v>
      </c>
      <c r="X17" s="19">
        <f>K17*Reference!$F$10+Reference!$F$11</f>
        <v>64.597784244844206</v>
      </c>
      <c r="Y17" s="19">
        <f t="shared" si="2"/>
        <v>59.386273431663412</v>
      </c>
      <c r="Z17" s="19">
        <f t="shared" si="3"/>
        <v>1.0877561515823644</v>
      </c>
      <c r="AA17" s="114">
        <f>(Y17/100)*Reference!$L$23*(H17/1000)/(Reference!$W$20)</f>
        <v>30.311849649698669</v>
      </c>
      <c r="AB17" s="114">
        <f>(Y17/100)*Reference!$L$23*(H17/1000)/(Reference!$P$26)</f>
        <v>80.755281997596143</v>
      </c>
      <c r="AC17" s="114">
        <f>(Y17/100)*Reference!$L$23*(H17/1000)/(Reference!$P$23)</f>
        <v>144.10544523717701</v>
      </c>
      <c r="AD17" s="115">
        <f>AA17/Reference!$R$23</f>
        <v>394.77503493563671</v>
      </c>
      <c r="AE17" s="123">
        <f>AB17/(Reference!$R$23)</f>
        <v>1051.7394893503351</v>
      </c>
      <c r="AF17" s="123">
        <f>V17/(Reference!$R$23)</f>
        <v>24.850216529144404</v>
      </c>
      <c r="AG17" s="123">
        <f>Reference!$R$23</f>
        <v>7.6782589999999998E-2</v>
      </c>
      <c r="AH17" s="105">
        <f t="shared" si="4"/>
        <v>23.545647272913524</v>
      </c>
      <c r="AI17" s="103"/>
      <c r="AJ17" s="166">
        <v>13</v>
      </c>
      <c r="AK17" s="24">
        <v>8.0009999999999999E-4</v>
      </c>
      <c r="AL17" s="24">
        <v>3.7677744766116218E-2</v>
      </c>
      <c r="AM17" s="24">
        <v>1597.6014559448304</v>
      </c>
      <c r="AN17" s="24">
        <v>4.9485000000000001E-2</v>
      </c>
      <c r="AO17" s="24">
        <v>1.0535336114857199E-2</v>
      </c>
      <c r="AP17" s="168">
        <v>0.64597784244844203</v>
      </c>
      <c r="AQ17" s="168">
        <v>1.1877254686332683</v>
      </c>
      <c r="AS17" s="134"/>
      <c r="AT17" s="136"/>
      <c r="AU17" s="104"/>
      <c r="AV17" s="104"/>
      <c r="AW17" s="104"/>
      <c r="AX17" s="135"/>
      <c r="BI17" s="19"/>
      <c r="BL17" s="19"/>
    </row>
    <row r="18" spans="1:64" s="105" customFormat="1" ht="13.8" thickBot="1">
      <c r="A18" s="80">
        <v>173</v>
      </c>
      <c r="B18" s="74">
        <v>0.44285879629629626</v>
      </c>
      <c r="C18" s="75">
        <v>0.44347222222222221</v>
      </c>
      <c r="D18" s="74">
        <v>0.44332175925925926</v>
      </c>
      <c r="E18" s="67"/>
      <c r="F18" s="39">
        <v>14</v>
      </c>
      <c r="G18" s="106" t="s">
        <v>63</v>
      </c>
      <c r="H18" s="26">
        <v>1.6002000000000001</v>
      </c>
      <c r="I18" s="28">
        <v>101325</v>
      </c>
      <c r="J18" s="14">
        <v>147</v>
      </c>
      <c r="K18" s="14">
        <v>69</v>
      </c>
      <c r="L18" s="14">
        <v>139</v>
      </c>
      <c r="M18" s="14">
        <v>3.24</v>
      </c>
      <c r="N18" s="14">
        <v>250</v>
      </c>
      <c r="O18" s="19">
        <v>365</v>
      </c>
      <c r="P18" s="19">
        <f>O18*Reference!$B$23+Reference!$B$24</f>
        <v>35.839839701513156</v>
      </c>
      <c r="Q18" s="132">
        <f>Reference!$L$23</f>
        <v>1597.6014559448304</v>
      </c>
      <c r="R18" s="133">
        <f>Reference!$W$23</f>
        <v>4.9485000000000001E-2</v>
      </c>
      <c r="S18" s="133">
        <f>Reference!$P$23</f>
        <v>1.0535336114857199E-2</v>
      </c>
      <c r="T18" s="19">
        <f>J18*Reference!$L$8</f>
        <v>70.697947214076251</v>
      </c>
      <c r="U18" s="19">
        <f t="shared" si="5"/>
        <v>53.023460410557192</v>
      </c>
      <c r="V18" s="19">
        <f>T18*Reference!$L$23/(60*10^3)</f>
        <v>1.8824523900253165</v>
      </c>
      <c r="W18" s="19">
        <f>U18*Reference!$L$22/(60*1000)</f>
        <v>1.5407275343060367</v>
      </c>
      <c r="X18" s="19">
        <f>K18*Reference!$F$10+Reference!$F$11</f>
        <v>58.956491937790645</v>
      </c>
      <c r="Y18" s="19">
        <f t="shared" si="2"/>
        <v>58.589142244661225</v>
      </c>
      <c r="Z18" s="19">
        <f t="shared" si="3"/>
        <v>1.0062699278237495</v>
      </c>
      <c r="AA18" s="114">
        <f>(Y18/100)*Reference!$L$23*(H18/1000)/(Reference!$W$20)</f>
        <v>29.904979184602045</v>
      </c>
      <c r="AB18" s="114">
        <f>(Y18/100)*Reference!$L$23*(H18/1000)/(Reference!$P$26)</f>
        <v>79.671318480849891</v>
      </c>
      <c r="AC18" s="114">
        <f>(Y18/100)*Reference!$L$23*(H18/1000)/(Reference!$P$23)</f>
        <v>142.17114395882567</v>
      </c>
      <c r="AD18" s="115">
        <f>AA18/Reference!$R$23</f>
        <v>389.47604117811142</v>
      </c>
      <c r="AE18" s="123">
        <f>AB18/(Reference!$R$23)</f>
        <v>1037.6221807684515</v>
      </c>
      <c r="AF18" s="123">
        <f>V18/(Reference!$R$23)</f>
        <v>24.516656575733073</v>
      </c>
      <c r="AG18" s="123">
        <f>Reference!$R$23</f>
        <v>7.6782589999999998E-2</v>
      </c>
      <c r="AH18" s="105">
        <f t="shared" si="4"/>
        <v>22.397100175923732</v>
      </c>
      <c r="AI18" s="103"/>
      <c r="AJ18" s="166">
        <v>14</v>
      </c>
      <c r="AK18" s="24">
        <v>8.0009999999999999E-4</v>
      </c>
      <c r="AL18" s="24">
        <v>3.5839839701513158E-2</v>
      </c>
      <c r="AM18" s="24">
        <v>1597.6014559448304</v>
      </c>
      <c r="AN18" s="24">
        <v>4.9485000000000001E-2</v>
      </c>
      <c r="AO18" s="24">
        <v>1.0535336114857199E-2</v>
      </c>
      <c r="AP18" s="168">
        <v>0.58956491937790645</v>
      </c>
      <c r="AQ18" s="168">
        <v>1.1717828448932246</v>
      </c>
      <c r="AS18" s="134"/>
      <c r="AT18" s="136"/>
      <c r="AU18" s="104"/>
      <c r="AV18" s="104"/>
      <c r="AW18" s="104"/>
      <c r="AX18" s="135"/>
      <c r="BI18" s="19"/>
    </row>
    <row r="19" spans="1:64" s="105" customFormat="1" ht="16.649999999999999" customHeight="1" thickTop="1">
      <c r="A19" s="52">
        <v>52</v>
      </c>
      <c r="B19" s="38" t="s">
        <v>64</v>
      </c>
      <c r="C19" s="15">
        <v>0.68560185185185185</v>
      </c>
      <c r="D19" s="15">
        <v>0.68527777777777776</v>
      </c>
      <c r="E19" s="27"/>
      <c r="F19" s="35">
        <v>15</v>
      </c>
      <c r="G19" s="106" t="s">
        <v>63</v>
      </c>
      <c r="H19" s="26">
        <v>1.6002000000000001</v>
      </c>
      <c r="I19" s="28">
        <v>101325</v>
      </c>
      <c r="J19" s="19">
        <v>117</v>
      </c>
      <c r="K19" s="19">
        <v>61</v>
      </c>
      <c r="L19" s="19">
        <v>119</v>
      </c>
      <c r="M19" s="19">
        <v>2.9</v>
      </c>
      <c r="N19" s="19">
        <v>250</v>
      </c>
      <c r="O19" s="19">
        <v>383</v>
      </c>
      <c r="P19" s="19">
        <f>O19*Reference!$F$42+Reference!$F$43</f>
        <v>31.704553306156285</v>
      </c>
      <c r="Q19" s="132">
        <f>Reference!$L$23</f>
        <v>1597.6014559448304</v>
      </c>
      <c r="R19" s="133">
        <f>Reference!$W$23</f>
        <v>4.9485000000000001E-2</v>
      </c>
      <c r="S19" s="133">
        <f>Reference!$P$23</f>
        <v>1.0535336114857199E-2</v>
      </c>
      <c r="T19" s="19">
        <f>J19*Reference!$L$8</f>
        <v>56.269794721407628</v>
      </c>
      <c r="U19" s="19">
        <f t="shared" si="5"/>
        <v>42.202346041055719</v>
      </c>
      <c r="V19" s="19">
        <f>T19*Reference!$L$23/(60*10^3)</f>
        <v>1.4982784328772927</v>
      </c>
      <c r="W19" s="19">
        <f>U19*Reference!$L$22/(60*1000)</f>
        <v>1.2262933436313352</v>
      </c>
      <c r="X19" s="19">
        <f>K19*Reference!$F$10+Reference!$F$11</f>
        <v>51.43476886171922</v>
      </c>
      <c r="Y19" s="19">
        <f t="shared" si="2"/>
        <v>46.632174439628322</v>
      </c>
      <c r="Z19" s="19">
        <f t="shared" si="3"/>
        <v>1.102988858653986</v>
      </c>
      <c r="AA19" s="114">
        <f>(Y19/100)*Reference!$L$23*(H19/1000)/(Reference!$W$20)</f>
        <v>23.801922208152643</v>
      </c>
      <c r="AB19" s="114">
        <f>(Y19/100)*Reference!$L$23*(H19/1000)/(Reference!$P$26)</f>
        <v>63.411865729656022</v>
      </c>
      <c r="AC19" s="114">
        <f>(Y19/100)*Reference!$L$23*(H19/1000)/(Reference!$P$23)</f>
        <v>113.1566247835551</v>
      </c>
      <c r="AD19" s="115">
        <f>AA19/Reference!$R$23</f>
        <v>309.99113481523148</v>
      </c>
      <c r="AE19" s="123">
        <f>AB19/(Reference!$R$23)</f>
        <v>825.86255204019585</v>
      </c>
      <c r="AF19" s="123">
        <f>V19/(Reference!$R$23)</f>
        <v>19.51325727456306</v>
      </c>
      <c r="AG19" s="123">
        <f>Reference!$R$23</f>
        <v>7.6782589999999998E-2</v>
      </c>
      <c r="AH19" s="105">
        <f t="shared" si="4"/>
        <v>19.812869207696714</v>
      </c>
      <c r="AI19" s="103"/>
      <c r="AJ19" s="166">
        <v>15</v>
      </c>
      <c r="AK19" s="24">
        <v>8.0009999999999999E-4</v>
      </c>
      <c r="AL19" s="24">
        <v>3.1704553306156284E-2</v>
      </c>
      <c r="AM19" s="24">
        <v>1597.6014559448304</v>
      </c>
      <c r="AN19" s="24">
        <v>4.9485000000000001E-2</v>
      </c>
      <c r="AO19" s="24">
        <v>1.0535336114857199E-2</v>
      </c>
      <c r="AP19" s="168">
        <v>0.51434768861719216</v>
      </c>
      <c r="AQ19" s="168">
        <v>0.93264348879256642</v>
      </c>
      <c r="AS19" s="134"/>
      <c r="AT19" s="136"/>
      <c r="AU19" s="104"/>
      <c r="AV19" s="104"/>
      <c r="AW19" s="104"/>
      <c r="AX19" s="135"/>
      <c r="BI19" s="19"/>
    </row>
    <row r="20" spans="1:64" s="105" customFormat="1" ht="13.8" thickBot="1">
      <c r="A20" s="80">
        <v>173</v>
      </c>
      <c r="B20" s="74">
        <v>0.46402777777777776</v>
      </c>
      <c r="C20" s="75">
        <v>0.46506944444444448</v>
      </c>
      <c r="D20" s="15">
        <v>0.46489583333333334</v>
      </c>
      <c r="E20" s="67"/>
      <c r="F20" s="39">
        <v>16</v>
      </c>
      <c r="G20" s="106" t="s">
        <v>63</v>
      </c>
      <c r="H20" s="26">
        <v>1.6002000000000001</v>
      </c>
      <c r="I20" s="28">
        <v>101325</v>
      </c>
      <c r="J20" s="19">
        <v>105</v>
      </c>
      <c r="K20" s="19">
        <v>51</v>
      </c>
      <c r="L20" s="19">
        <v>98</v>
      </c>
      <c r="M20" s="19">
        <v>2.29</v>
      </c>
      <c r="N20" s="19">
        <v>250</v>
      </c>
      <c r="O20" s="19">
        <v>405</v>
      </c>
      <c r="P20" s="19">
        <f>O20*Reference!$B$23+Reference!$B$24</f>
        <v>26.650314378497882</v>
      </c>
      <c r="Q20" s="132">
        <f>Reference!$L$23</f>
        <v>1597.6014559448304</v>
      </c>
      <c r="R20" s="133">
        <f>Reference!$W$23</f>
        <v>4.9485000000000001E-2</v>
      </c>
      <c r="S20" s="133">
        <f>Reference!$P$23</f>
        <v>1.0535336114857199E-2</v>
      </c>
      <c r="T20" s="19">
        <f>J20*Reference!$L$8</f>
        <v>50.498533724340177</v>
      </c>
      <c r="U20" s="19">
        <f t="shared" si="5"/>
        <v>37.873900293255133</v>
      </c>
      <c r="V20" s="19">
        <f>T20*Reference!$L$23/(60*10^3)</f>
        <v>1.3446088500180831</v>
      </c>
      <c r="W20" s="19">
        <f>U20*Reference!$L$22/(60*1000)</f>
        <v>1.1005196673614548</v>
      </c>
      <c r="X20" s="19">
        <f>K20*Reference!$F$10+Reference!$F$11</f>
        <v>42.03261501662994</v>
      </c>
      <c r="Y20" s="19">
        <f t="shared" si="2"/>
        <v>41.849387317615161</v>
      </c>
      <c r="Z20" s="19">
        <f t="shared" si="3"/>
        <v>1.0043782647909316</v>
      </c>
      <c r="AA20" s="114">
        <f>(Y20/100)*Reference!$L$23*(H20/1000)/(Reference!$W$20)</f>
        <v>21.360699417572889</v>
      </c>
      <c r="AB20" s="114">
        <f>(Y20/100)*Reference!$L$23*(H20/1000)/(Reference!$P$26)</f>
        <v>56.908084629178489</v>
      </c>
      <c r="AC20" s="114">
        <f>(Y20/100)*Reference!$L$23*(H20/1000)/(Reference!$P$23)</f>
        <v>101.5508171134469</v>
      </c>
      <c r="AD20" s="115">
        <f>AA20/Reference!$R$23</f>
        <v>278.19717227007959</v>
      </c>
      <c r="AE20" s="123">
        <f>AB20/(Reference!$R$23)</f>
        <v>741.15870054889388</v>
      </c>
      <c r="AF20" s="123">
        <f>V20/(Reference!$R$23)</f>
        <v>17.51189755409505</v>
      </c>
      <c r="AG20" s="123">
        <f>Reference!$R$23</f>
        <v>7.6782589999999998E-2</v>
      </c>
      <c r="AH20" s="105">
        <f t="shared" si="4"/>
        <v>16.654364690974802</v>
      </c>
      <c r="AI20" s="103"/>
      <c r="AJ20" s="166">
        <v>16</v>
      </c>
      <c r="AK20" s="24">
        <v>8.0009999999999999E-4</v>
      </c>
      <c r="AL20" s="24">
        <v>2.665031437849788E-2</v>
      </c>
      <c r="AM20" s="24">
        <v>1597.6014559448304</v>
      </c>
      <c r="AN20" s="24">
        <v>4.9485000000000001E-2</v>
      </c>
      <c r="AO20" s="24">
        <v>1.0535336114857199E-2</v>
      </c>
      <c r="AP20" s="168">
        <v>0.42032615016629937</v>
      </c>
      <c r="AQ20" s="168">
        <v>0.83698774635230322</v>
      </c>
      <c r="AS20" s="134"/>
      <c r="AT20" s="136"/>
      <c r="AU20" s="104"/>
      <c r="AV20" s="104"/>
      <c r="AW20" s="104"/>
      <c r="AX20" s="135"/>
      <c r="BI20" s="19"/>
    </row>
    <row r="21" spans="1:64" s="105" customFormat="1" ht="15.75" customHeight="1" thickTop="1" thickBot="1">
      <c r="A21" s="44">
        <v>52</v>
      </c>
      <c r="B21" s="17">
        <v>0.68214120370370368</v>
      </c>
      <c r="C21" s="17">
        <v>0.68333333333333324</v>
      </c>
      <c r="D21" s="15">
        <v>0.68287037037037035</v>
      </c>
      <c r="E21" s="34"/>
      <c r="F21" s="35">
        <v>17</v>
      </c>
      <c r="G21" s="107" t="s">
        <v>63</v>
      </c>
      <c r="H21" s="43">
        <v>1.6002000000000001</v>
      </c>
      <c r="I21" s="42">
        <v>101325</v>
      </c>
      <c r="J21" s="21">
        <v>79</v>
      </c>
      <c r="K21" s="21">
        <v>37</v>
      </c>
      <c r="L21" s="21">
        <v>81</v>
      </c>
      <c r="M21" s="21">
        <v>1.66</v>
      </c>
      <c r="N21" s="21">
        <v>250</v>
      </c>
      <c r="O21" s="21">
        <v>429</v>
      </c>
      <c r="P21" s="19">
        <f>O21*Reference!$F$42+Reference!$F$43</f>
        <v>21.13659918468872</v>
      </c>
      <c r="Q21" s="132">
        <f>Reference!$L$23</f>
        <v>1597.6014559448304</v>
      </c>
      <c r="R21" s="133">
        <f>Reference!$W$23</f>
        <v>4.9485000000000001E-2</v>
      </c>
      <c r="S21" s="133">
        <f>Reference!$P$23</f>
        <v>1.0535336114857199E-2</v>
      </c>
      <c r="T21" s="19">
        <f>J21*Reference!$L$8</f>
        <v>37.994134897360702</v>
      </c>
      <c r="U21" s="19">
        <f t="shared" si="5"/>
        <v>28.495601173020525</v>
      </c>
      <c r="V21" s="19">
        <f>T21*Reference!$L$23/(60*10^3)</f>
        <v>1.0116580871564624</v>
      </c>
      <c r="W21" s="19">
        <f>U21*Reference!$L$22/(60*1000)</f>
        <v>0.82801003544338003</v>
      </c>
      <c r="X21" s="19">
        <f>K21*Reference!$F$10+Reference!$F$11</f>
        <v>28.869599633504954</v>
      </c>
      <c r="Y21" s="19">
        <f t="shared" si="2"/>
        <v>31.486681886586641</v>
      </c>
      <c r="Z21" s="19">
        <f t="shared" si="3"/>
        <v>0.91688288202268253</v>
      </c>
      <c r="AA21" s="114">
        <f>(Y21/100)*Reference!$L$23*(H21/1000)/(Reference!$W$20)</f>
        <v>16.071383371316742</v>
      </c>
      <c r="AB21" s="114">
        <f>(Y21/100)*Reference!$L$23*(H21/1000)/(Reference!$P$26)</f>
        <v>42.816558911477145</v>
      </c>
      <c r="AC21" s="114">
        <f>(Y21/100)*Reference!$L$23*(H21/1000)/(Reference!$P$23)</f>
        <v>76.404900494879087</v>
      </c>
      <c r="AD21" s="115">
        <f>AA21/Reference!$R$23</f>
        <v>209.3102534222503</v>
      </c>
      <c r="AE21" s="123">
        <f>AB21/(Reference!$R$23)</f>
        <v>557.63368898440581</v>
      </c>
      <c r="AF21" s="123">
        <f>V21/(Reference!$R$23)</f>
        <v>13.175618159747705</v>
      </c>
      <c r="AG21" s="123">
        <f>Reference!$R$23</f>
        <v>7.6782589999999998E-2</v>
      </c>
      <c r="AH21" s="105">
        <f t="shared" si="4"/>
        <v>13.208723400005448</v>
      </c>
      <c r="AI21" s="103"/>
      <c r="AJ21" s="166">
        <v>17</v>
      </c>
      <c r="AK21" s="24">
        <v>8.0009999999999999E-4</v>
      </c>
      <c r="AL21" s="24">
        <v>2.1136599184688718E-2</v>
      </c>
      <c r="AM21" s="24">
        <v>1597.6014559448304</v>
      </c>
      <c r="AN21" s="24">
        <v>4.9485000000000001E-2</v>
      </c>
      <c r="AO21" s="24">
        <v>1.0535336114857199E-2</v>
      </c>
      <c r="AP21" s="168">
        <v>0.28869599633504955</v>
      </c>
      <c r="AQ21" s="168">
        <v>0.62973363773173285</v>
      </c>
      <c r="AS21" s="134"/>
      <c r="AT21" s="136"/>
      <c r="AU21" s="104"/>
      <c r="AV21" s="104"/>
      <c r="AW21" s="104"/>
      <c r="AX21" s="135"/>
      <c r="BI21" s="19"/>
    </row>
    <row r="22" spans="1:64" s="105" customFormat="1" ht="16.5" customHeight="1" thickTop="1" thickBot="1">
      <c r="A22" s="52">
        <v>52</v>
      </c>
      <c r="B22" s="15" t="s">
        <v>65</v>
      </c>
      <c r="C22" s="38">
        <v>0.67410879629629628</v>
      </c>
      <c r="D22" s="15">
        <v>0.67359953703703701</v>
      </c>
      <c r="E22" s="27"/>
      <c r="F22" s="39">
        <v>18</v>
      </c>
      <c r="G22" s="106" t="s">
        <v>63</v>
      </c>
      <c r="H22" s="43">
        <v>1.6002000000000001</v>
      </c>
      <c r="I22" s="28">
        <v>101325</v>
      </c>
      <c r="J22" s="54">
        <v>50</v>
      </c>
      <c r="K22" s="54">
        <v>20</v>
      </c>
      <c r="L22" s="54">
        <v>55</v>
      </c>
      <c r="M22" s="19">
        <v>1.1200000000000001</v>
      </c>
      <c r="N22" s="19">
        <v>250</v>
      </c>
      <c r="O22" s="19">
        <v>458</v>
      </c>
      <c r="P22" s="19">
        <f>O22*Reference!$F$42+Reference!$F$43</f>
        <v>14.474193325502654</v>
      </c>
      <c r="Q22" s="132">
        <f>Reference!$L$23</f>
        <v>1597.6014559448304</v>
      </c>
      <c r="R22" s="133">
        <f>Reference!$W$23</f>
        <v>4.9485000000000001E-2</v>
      </c>
      <c r="S22" s="133">
        <f>Reference!$P$23</f>
        <v>1.0535336114857199E-2</v>
      </c>
      <c r="T22" s="19">
        <f>J22*Reference!$L$8</f>
        <v>24.046920821114369</v>
      </c>
      <c r="U22" s="19">
        <f t="shared" si="5"/>
        <v>18.035190615835777</v>
      </c>
      <c r="V22" s="19">
        <f>T22*Reference!$L$23/(60*10^3)</f>
        <v>0.64028992858003952</v>
      </c>
      <c r="W22" s="19">
        <f>U22*Reference!$L$22/(60*1000)</f>
        <v>0.52405698445783555</v>
      </c>
      <c r="X22" s="19">
        <f>K22*Reference!$F$10+Reference!$F$11</f>
        <v>12.885938096853188</v>
      </c>
      <c r="Y22" s="19">
        <f t="shared" si="2"/>
        <v>19.928279675054835</v>
      </c>
      <c r="Z22" s="19">
        <f t="shared" si="3"/>
        <v>0.64661567917390894</v>
      </c>
      <c r="AA22" s="114">
        <f>(Y22/100)*Reference!$L$23*(H22/1000)/(Reference!$W$20)</f>
        <v>10.171761627415659</v>
      </c>
      <c r="AB22" s="114">
        <f>(Y22/100)*Reference!$L$23*(H22/1000)/(Reference!$P$26)</f>
        <v>27.099087918656416</v>
      </c>
      <c r="AC22" s="114">
        <f>(Y22/100)*Reference!$L$23*(H22/1000)/(Reference!$P$23)</f>
        <v>48.357531958784229</v>
      </c>
      <c r="AD22" s="115">
        <f>AA22/Reference!$R$23</f>
        <v>132.47484393813309</v>
      </c>
      <c r="AE22" s="123">
        <f>AB22/(Reference!$R$23)</f>
        <v>352.93271454709219</v>
      </c>
      <c r="AF22" s="123">
        <f>V22/(Reference!$R$23)</f>
        <v>8.3389988352833573</v>
      </c>
      <c r="AG22" s="123">
        <f>Reference!$R$23</f>
        <v>7.6782589999999998E-2</v>
      </c>
      <c r="AH22" s="105">
        <f t="shared" si="4"/>
        <v>9.045240173417481</v>
      </c>
      <c r="AI22" s="103"/>
      <c r="AJ22" s="166">
        <v>18</v>
      </c>
      <c r="AK22" s="24">
        <v>8.0009999999999999E-4</v>
      </c>
      <c r="AL22" s="24">
        <v>1.4474193325502654E-2</v>
      </c>
      <c r="AM22" s="24">
        <v>1597.6014559448304</v>
      </c>
      <c r="AN22" s="24">
        <v>4.9485000000000001E-2</v>
      </c>
      <c r="AO22" s="24">
        <v>1.0535336114857199E-2</v>
      </c>
      <c r="AP22" s="168">
        <v>0.12885938096853189</v>
      </c>
      <c r="AQ22" s="168">
        <v>0.39856559350109672</v>
      </c>
      <c r="AS22" s="134"/>
      <c r="AT22" s="136"/>
      <c r="AU22" s="104"/>
      <c r="AV22" s="104"/>
      <c r="AW22" s="104"/>
      <c r="AX22" s="135"/>
      <c r="BI22" s="19"/>
    </row>
    <row r="23" spans="1:64" s="105" customFormat="1" ht="14.4" thickTop="1" thickBot="1">
      <c r="A23" s="55">
        <v>119</v>
      </c>
      <c r="B23" s="15">
        <v>0.43630787037037039</v>
      </c>
      <c r="C23" s="31">
        <v>0.43809027777777776</v>
      </c>
      <c r="D23" s="15">
        <v>0.43715277777777778</v>
      </c>
      <c r="E23" s="67"/>
      <c r="F23" s="35">
        <v>19</v>
      </c>
      <c r="G23" s="106" t="s">
        <v>63</v>
      </c>
      <c r="H23" s="26">
        <v>1.6002000000000001</v>
      </c>
      <c r="I23" s="28">
        <v>101325</v>
      </c>
      <c r="J23" s="19">
        <v>49</v>
      </c>
      <c r="K23" s="19">
        <v>20</v>
      </c>
      <c r="L23" s="19">
        <v>79</v>
      </c>
      <c r="M23" s="19">
        <v>1.18</v>
      </c>
      <c r="N23" s="19" t="s">
        <v>54</v>
      </c>
      <c r="O23" s="19">
        <v>459</v>
      </c>
      <c r="P23" s="19">
        <f>O23*Reference!$R$42+Reference!$R$43</f>
        <v>15.435434303976635</v>
      </c>
      <c r="Q23" s="132">
        <f>Reference!$L$23</f>
        <v>1597.6014559448304</v>
      </c>
      <c r="R23" s="133">
        <f>Reference!$W$23</f>
        <v>4.9485000000000001E-2</v>
      </c>
      <c r="S23" s="133">
        <f>Reference!$P$23</f>
        <v>1.0535336114857199E-2</v>
      </c>
      <c r="T23" s="19">
        <f>J23*Reference!$L$8</f>
        <v>23.565982404692082</v>
      </c>
      <c r="U23" s="19">
        <f>0.75*T23</f>
        <v>17.674486803519063</v>
      </c>
      <c r="V23" s="19">
        <f>T23*Reference!$L$23/(60*10^3)</f>
        <v>0.62748413000843883</v>
      </c>
      <c r="W23" s="19">
        <f>U23*Reference!$L$22/(60*1000)</f>
        <v>0.5135758447686789</v>
      </c>
      <c r="X23" s="19">
        <f>K23*Reference!$F$10+Reference!$F$11</f>
        <v>12.885938096853188</v>
      </c>
      <c r="Y23" s="19">
        <f t="shared" si="2"/>
        <v>19.529714081553742</v>
      </c>
      <c r="Z23" s="19">
        <f t="shared" si="3"/>
        <v>0.65981191752439683</v>
      </c>
      <c r="AA23" s="114">
        <f>(Y23/100)*Reference!$L$23*(H23/1000)/(Reference!$W$20)</f>
        <v>9.9683263948673488</v>
      </c>
      <c r="AB23" s="114">
        <f>(Y23/100)*Reference!$L$23*(H23/1000)/(Reference!$P$26)</f>
        <v>26.557106160283297</v>
      </c>
      <c r="AC23" s="114">
        <f>(Y23/100)*Reference!$L$23*(H23/1000)/(Reference!$P$23)</f>
        <v>47.390381319608551</v>
      </c>
      <c r="AD23" s="115">
        <f>AA23/Reference!$R$23</f>
        <v>129.82534705937047</v>
      </c>
      <c r="AE23" s="123">
        <f>AB23/(Reference!$R$23)</f>
        <v>345.87406025615047</v>
      </c>
      <c r="AF23" s="123">
        <f>V23/(Reference!$R$23)</f>
        <v>8.1722188585776916</v>
      </c>
      <c r="AG23" s="123">
        <f>Reference!$R$23</f>
        <v>7.6782589999999998E-2</v>
      </c>
      <c r="AH23" s="105">
        <f t="shared" si="4"/>
        <v>9.6459406973982222</v>
      </c>
      <c r="AI23" s="103"/>
      <c r="AJ23" s="166">
        <v>19</v>
      </c>
      <c r="AK23" s="24">
        <v>8.0009999999999999E-4</v>
      </c>
      <c r="AL23" s="24">
        <v>1.5435434303976635E-2</v>
      </c>
      <c r="AM23" s="24">
        <v>1597.6014559448304</v>
      </c>
      <c r="AN23" s="24">
        <v>4.9485000000000001E-2</v>
      </c>
      <c r="AO23" s="24">
        <v>1.0535336114857199E-2</v>
      </c>
      <c r="AP23" s="168">
        <v>0.12885938096853189</v>
      </c>
      <c r="AQ23" s="168">
        <v>0.39059428163107485</v>
      </c>
      <c r="AS23" s="134"/>
      <c r="AT23" s="136"/>
      <c r="AU23" s="104"/>
      <c r="AV23" s="104"/>
      <c r="AW23" s="104"/>
      <c r="AX23" s="135"/>
      <c r="BI23" s="19"/>
    </row>
    <row r="24" spans="1:64" s="105" customFormat="1" ht="14.4" thickTop="1" thickBot="1">
      <c r="A24" s="55">
        <v>119</v>
      </c>
      <c r="B24" s="15">
        <v>0.44344907407407402</v>
      </c>
      <c r="C24" s="56">
        <v>0.44457175925925929</v>
      </c>
      <c r="D24" s="15">
        <v>0.44366898148148143</v>
      </c>
      <c r="E24" s="67"/>
      <c r="F24" s="39">
        <v>20</v>
      </c>
      <c r="G24" s="106" t="s">
        <v>63</v>
      </c>
      <c r="H24" s="26">
        <v>1.6002000000000001</v>
      </c>
      <c r="I24" s="28">
        <v>101325</v>
      </c>
      <c r="J24" s="54">
        <v>72</v>
      </c>
      <c r="K24" s="54">
        <v>35</v>
      </c>
      <c r="L24" s="54">
        <v>117</v>
      </c>
      <c r="M24" s="19">
        <v>1.4</v>
      </c>
      <c r="N24" s="19"/>
      <c r="O24" s="21">
        <v>431</v>
      </c>
      <c r="P24" s="19">
        <f>O24*Reference!$R$42+Reference!$R$43</f>
        <v>21.704861805327255</v>
      </c>
      <c r="Q24" s="132">
        <f>Reference!$L$23</f>
        <v>1597.6014559448304</v>
      </c>
      <c r="R24" s="133">
        <f>Reference!$W$23</f>
        <v>4.9485000000000001E-2</v>
      </c>
      <c r="S24" s="133">
        <f>Reference!$P$23</f>
        <v>1.0535336114857199E-2</v>
      </c>
      <c r="T24" s="19">
        <f>J24*Reference!$L$8</f>
        <v>34.62756598240469</v>
      </c>
      <c r="U24" s="19">
        <f>0.75*T24</f>
        <v>25.970674486803517</v>
      </c>
      <c r="V24" s="19">
        <f>T24*Reference!$L$23/(60*10^3)</f>
        <v>0.92201749715525694</v>
      </c>
      <c r="W24" s="19">
        <f>U24*Reference!$L$22/(60*1000)</f>
        <v>0.75464205761928316</v>
      </c>
      <c r="X24" s="19">
        <f>K24*Reference!$F$10+Reference!$F$11</f>
        <v>26.989168864487098</v>
      </c>
      <c r="Y24" s="19">
        <f t="shared" si="2"/>
        <v>28.696722732078964</v>
      </c>
      <c r="Z24" s="19">
        <f t="shared" si="3"/>
        <v>0.94049655483191963</v>
      </c>
      <c r="AA24" s="114">
        <f>(Y24/100)*Reference!$L$23*(H24/1000)/(Reference!$W$20)</f>
        <v>14.647336743478551</v>
      </c>
      <c r="AB24" s="114">
        <f>(Y24/100)*Reference!$L$23*(H24/1000)/(Reference!$P$26)</f>
        <v>39.022686602865242</v>
      </c>
      <c r="AC24" s="114">
        <f>(Y24/100)*Reference!$L$23*(H24/1000)/(Reference!$P$23)</f>
        <v>69.634846020649292</v>
      </c>
      <c r="AD24" s="115">
        <f>AA24/Reference!$R$23</f>
        <v>190.76377527091168</v>
      </c>
      <c r="AE24" s="123">
        <f>AB24/(Reference!$R$23)</f>
        <v>508.22310894781282</v>
      </c>
      <c r="AF24" s="123">
        <f>V24/(Reference!$R$23)</f>
        <v>12.008158322808034</v>
      </c>
      <c r="AG24" s="123">
        <f>Reference!$R$23</f>
        <v>7.6782589999999998E-2</v>
      </c>
      <c r="AH24" s="105">
        <f t="shared" si="4"/>
        <v>13.563843147936042</v>
      </c>
      <c r="AI24" s="103"/>
      <c r="AJ24" s="166">
        <v>20</v>
      </c>
      <c r="AK24" s="24">
        <v>8.0009999999999999E-4</v>
      </c>
      <c r="AL24" s="24">
        <v>2.1704861805327255E-2</v>
      </c>
      <c r="AM24" s="24">
        <v>1597.6014559448304</v>
      </c>
      <c r="AN24" s="24">
        <v>4.9485000000000001E-2</v>
      </c>
      <c r="AO24" s="24">
        <v>1.0535336114857199E-2</v>
      </c>
      <c r="AP24" s="168">
        <v>0.26989168864487101</v>
      </c>
      <c r="AQ24" s="168">
        <v>0.57393445464157933</v>
      </c>
      <c r="AS24" s="134"/>
      <c r="AT24" s="136"/>
      <c r="AU24" s="104"/>
      <c r="AV24" s="104"/>
      <c r="AW24" s="104"/>
      <c r="AX24" s="135"/>
      <c r="BI24" s="19"/>
    </row>
    <row r="25" spans="1:64" s="105" customFormat="1" ht="13.8" thickTop="1">
      <c r="A25" s="57">
        <v>136</v>
      </c>
      <c r="B25" s="17">
        <v>0.66488425925925931</v>
      </c>
      <c r="C25" s="30">
        <v>0.66622685185185182</v>
      </c>
      <c r="D25" s="17">
        <v>0.66518518518518521</v>
      </c>
      <c r="E25" s="68"/>
      <c r="F25" s="35">
        <v>21</v>
      </c>
      <c r="G25" s="106" t="s">
        <v>63</v>
      </c>
      <c r="H25" s="26">
        <v>1.6002000000000001</v>
      </c>
      <c r="I25" s="28">
        <v>101325</v>
      </c>
      <c r="J25" s="19">
        <v>52</v>
      </c>
      <c r="K25" s="19">
        <v>24</v>
      </c>
      <c r="L25" s="19">
        <v>131</v>
      </c>
      <c r="M25" s="19">
        <v>1.27</v>
      </c>
      <c r="N25" s="19">
        <v>250</v>
      </c>
      <c r="O25" s="19">
        <v>451</v>
      </c>
      <c r="P25" s="19">
        <f>O25*Reference!$F$60+Reference!$F$61</f>
        <v>15.608727809261254</v>
      </c>
      <c r="Q25" s="132">
        <f>Reference!$L$23</f>
        <v>1597.6014559448304</v>
      </c>
      <c r="R25" s="133">
        <f>Reference!$W$23</f>
        <v>4.9485000000000001E-2</v>
      </c>
      <c r="S25" s="133">
        <f>Reference!$P$23</f>
        <v>1.0535336114857199E-2</v>
      </c>
      <c r="T25" s="19">
        <f>J25*Reference!$L$8</f>
        <v>25.008797653958943</v>
      </c>
      <c r="U25" s="19">
        <f>0.75*T25</f>
        <v>18.756598240469209</v>
      </c>
      <c r="V25" s="19">
        <f>T25*Reference!$L$23/(60*10^3)</f>
        <v>0.66590152572324113</v>
      </c>
      <c r="W25" s="19">
        <f>U25*Reference!$L$22/(60*1000)</f>
        <v>0.54501926383614896</v>
      </c>
      <c r="X25" s="19">
        <f>K25*Reference!$F$10+Reference!$F$11</f>
        <v>16.646799634888897</v>
      </c>
      <c r="Y25" s="19">
        <f t="shared" si="2"/>
        <v>20.725410862057029</v>
      </c>
      <c r="Z25" s="19">
        <f t="shared" si="3"/>
        <v>0.8032072196631318</v>
      </c>
      <c r="AA25" s="114">
        <f>(Y25/100)*Reference!$L$23*(H25/1000)/(Reference!$W$20)</f>
        <v>10.578632092512285</v>
      </c>
      <c r="AB25" s="114">
        <f>(Y25/100)*Reference!$L$23*(H25/1000)/(Reference!$P$26)</f>
        <v>28.183051435402675</v>
      </c>
      <c r="AC25" s="114">
        <f>(Y25/100)*Reference!$L$23*(H25/1000)/(Reference!$P$23)</f>
        <v>50.291833237135592</v>
      </c>
      <c r="AD25" s="115">
        <f>AA25/Reference!$R$23</f>
        <v>137.77383769565841</v>
      </c>
      <c r="AE25" s="123">
        <f>AB25/(Reference!$R$23)</f>
        <v>367.05002312897591</v>
      </c>
      <c r="AF25" s="123">
        <f>V25/(Reference!$R$23)</f>
        <v>8.6725587886946922</v>
      </c>
      <c r="AG25" s="123">
        <f>Reference!$R$23</f>
        <v>7.6782589999999998E-2</v>
      </c>
      <c r="AH25" s="105">
        <f t="shared" si="4"/>
        <v>9.7542356013381166</v>
      </c>
      <c r="AI25" s="103"/>
      <c r="AJ25" s="166">
        <v>21</v>
      </c>
      <c r="AK25" s="24">
        <v>8.0009999999999999E-4</v>
      </c>
      <c r="AL25" s="24">
        <v>1.5608727809261253E-2</v>
      </c>
      <c r="AM25" s="24">
        <v>1597.6014559448304</v>
      </c>
      <c r="AN25" s="24">
        <v>4.9485000000000001E-2</v>
      </c>
      <c r="AO25" s="24">
        <v>1.0535336114857199E-2</v>
      </c>
      <c r="AP25" s="168">
        <v>0.16646799634888898</v>
      </c>
      <c r="AQ25" s="168">
        <v>0.41450821724114056</v>
      </c>
      <c r="AS25" s="134"/>
      <c r="AT25" s="136"/>
      <c r="AU25" s="104"/>
      <c r="AV25" s="104"/>
      <c r="AW25" s="104"/>
      <c r="AX25" s="135"/>
      <c r="BI25" s="19"/>
    </row>
    <row r="26" spans="1:64" s="105" customFormat="1" ht="13.8" thickBot="1">
      <c r="A26" s="57">
        <v>136</v>
      </c>
      <c r="B26" s="15">
        <v>0.66111111111111109</v>
      </c>
      <c r="C26" s="31">
        <v>0.66283564814814822</v>
      </c>
      <c r="D26" s="15">
        <v>0.66222222222222216</v>
      </c>
      <c r="E26" s="69"/>
      <c r="F26" s="39">
        <v>22</v>
      </c>
      <c r="G26" s="106" t="s">
        <v>63</v>
      </c>
      <c r="H26" s="26">
        <v>1.6002000000000001</v>
      </c>
      <c r="I26" s="28">
        <v>101325</v>
      </c>
      <c r="J26" s="19">
        <v>61</v>
      </c>
      <c r="K26" s="19">
        <v>31</v>
      </c>
      <c r="L26" s="19">
        <v>131</v>
      </c>
      <c r="M26" s="19">
        <v>1.5</v>
      </c>
      <c r="N26" s="19">
        <v>250</v>
      </c>
      <c r="O26" s="19">
        <v>441</v>
      </c>
      <c r="P26" s="19">
        <f>O26*Reference!$F$60+Reference!$F$61</f>
        <v>17.881738322287148</v>
      </c>
      <c r="Q26" s="132">
        <f>Reference!$L$23</f>
        <v>1597.6014559448304</v>
      </c>
      <c r="R26" s="133">
        <f>Reference!$W$23</f>
        <v>4.9485000000000001E-2</v>
      </c>
      <c r="S26" s="133">
        <f>Reference!$P$23</f>
        <v>1.0535336114857199E-2</v>
      </c>
      <c r="T26" s="19">
        <f>J26*Reference!$L$8</f>
        <v>29.337243401759533</v>
      </c>
      <c r="U26" s="19">
        <f>0.75*T26</f>
        <v>22.002932551319649</v>
      </c>
      <c r="V26" s="19">
        <f>T26*Reference!$L$23/(60*10^3)</f>
        <v>0.78115371286764834</v>
      </c>
      <c r="W26" s="19">
        <f>U26*Reference!$L$22/(60*1000)</f>
        <v>0.63934952103855935</v>
      </c>
      <c r="X26" s="19">
        <f>K26*Reference!$F$10+Reference!$F$11</f>
        <v>23.22830732645139</v>
      </c>
      <c r="Y26" s="19">
        <f t="shared" si="2"/>
        <v>24.312501203566903</v>
      </c>
      <c r="Z26" s="19">
        <f t="shared" si="3"/>
        <v>0.95540590957558691</v>
      </c>
      <c r="AA26" s="114">
        <f>(Y26/100)*Reference!$L$23*(H26/1000)/(Reference!$W$20)</f>
        <v>12.409549185447105</v>
      </c>
      <c r="AB26" s="114">
        <f>(Y26/100)*Reference!$L$23*(H26/1000)/(Reference!$P$26)</f>
        <v>33.060887260760836</v>
      </c>
      <c r="AC26" s="114">
        <f>(Y26/100)*Reference!$L$23*(H26/1000)/(Reference!$P$23)</f>
        <v>58.996188989716764</v>
      </c>
      <c r="AD26" s="115">
        <f>AA26/Reference!$R$23</f>
        <v>161.61930960452239</v>
      </c>
      <c r="AE26" s="123">
        <f>AB26/(Reference!$R$23)</f>
        <v>430.57791174745262</v>
      </c>
      <c r="AF26" s="123">
        <f>V26/(Reference!$R$23)</f>
        <v>10.173578579045698</v>
      </c>
      <c r="AG26" s="123">
        <f>Reference!$R$23</f>
        <v>7.6782589999999998E-2</v>
      </c>
      <c r="AH26" s="105">
        <f t="shared" si="4"/>
        <v>11.174689615227564</v>
      </c>
      <c r="AI26" s="103"/>
      <c r="AJ26" s="166">
        <v>22</v>
      </c>
      <c r="AK26" s="24">
        <v>8.0009999999999999E-4</v>
      </c>
      <c r="AL26" s="24">
        <v>1.788173832228715E-2</v>
      </c>
      <c r="AM26" s="24">
        <v>1597.6014559448304</v>
      </c>
      <c r="AN26" s="24">
        <v>4.9485000000000001E-2</v>
      </c>
      <c r="AO26" s="24">
        <v>1.0535336114857199E-2</v>
      </c>
      <c r="AP26" s="168">
        <v>0.23228307326451389</v>
      </c>
      <c r="AQ26" s="168">
        <v>0.48625002407133805</v>
      </c>
      <c r="AS26" s="134"/>
      <c r="AT26" s="136"/>
      <c r="AU26" s="104"/>
      <c r="AV26" s="104"/>
      <c r="AW26" s="104"/>
      <c r="AX26" s="135"/>
      <c r="BI26" s="19"/>
    </row>
    <row r="27" spans="1:64" s="105" customFormat="1" ht="13.8" thickTop="1">
      <c r="A27" s="52">
        <v>52</v>
      </c>
      <c r="B27" s="15">
        <v>0.729375</v>
      </c>
      <c r="C27" s="15">
        <v>0.73003472222222221</v>
      </c>
      <c r="D27" s="15">
        <v>0.72938657407407403</v>
      </c>
      <c r="E27" s="27"/>
      <c r="F27" s="35">
        <v>23</v>
      </c>
      <c r="G27" s="106" t="s">
        <v>63</v>
      </c>
      <c r="H27" s="58">
        <v>0.76200000000000001</v>
      </c>
      <c r="I27" s="28">
        <v>101325</v>
      </c>
      <c r="J27" s="19">
        <v>149</v>
      </c>
      <c r="K27" s="19">
        <v>46</v>
      </c>
      <c r="L27" s="19">
        <v>97</v>
      </c>
      <c r="M27" s="19">
        <v>3.4</v>
      </c>
      <c r="N27" s="19"/>
      <c r="O27" s="19">
        <v>349</v>
      </c>
      <c r="P27" s="19">
        <f>O27*Reference!$F$42+Reference!$F$43</f>
        <v>39.515649830719269</v>
      </c>
      <c r="Q27" s="132">
        <f>Reference!$L$23</f>
        <v>1597.6014559448304</v>
      </c>
      <c r="R27" s="133">
        <f>Reference!$W$23</f>
        <v>4.9485000000000001E-2</v>
      </c>
      <c r="S27" s="133">
        <f>Reference!$P$23</f>
        <v>1.0535336114857199E-2</v>
      </c>
      <c r="T27" s="19">
        <f>J27*Reference!$L$8</f>
        <v>71.659824046920818</v>
      </c>
      <c r="U27" s="19">
        <f>T27*0.75</f>
        <v>53.744868035190613</v>
      </c>
      <c r="V27" s="19">
        <f>T27*Reference!$L$23/(60*10^3)</f>
        <v>1.9080639871685179</v>
      </c>
      <c r="W27" s="19">
        <f>U27*Reference!$L$22/(60*1000)</f>
        <v>1.5616898136843498</v>
      </c>
      <c r="X27" s="19">
        <f>K27*Reference!$F$10+Reference!$F$11</f>
        <v>37.331538094085303</v>
      </c>
      <c r="Y27" s="19">
        <f t="shared" si="2"/>
        <v>261.89346583363567</v>
      </c>
      <c r="Z27" s="19">
        <f t="shared" si="3"/>
        <v>0.14254474801520883</v>
      </c>
      <c r="AA27" s="114">
        <f>(Y27/100)*Reference!$L$23*(H27/1000)/(Reference!$W$20)</f>
        <v>63.654884264367205</v>
      </c>
      <c r="AB27" s="114">
        <f>(Y27/100)*Reference!$L$23*(H27/1000)/(Reference!$P$26)</f>
        <v>169.5860921949519</v>
      </c>
      <c r="AC27" s="114">
        <f>(Y27/100)*Reference!$L$23*(H27/1000)/(Reference!$P$23)</f>
        <v>302.62143499807172</v>
      </c>
      <c r="AD27" s="115">
        <f>AA27/Reference!$R$23</f>
        <v>829.02757336483705</v>
      </c>
      <c r="AE27" s="123">
        <f>AB27/(Reference!$R$23)</f>
        <v>2208.6529276357037</v>
      </c>
      <c r="AF27" s="123">
        <f>V27/(Reference!$R$23)</f>
        <v>24.850216529144404</v>
      </c>
      <c r="AG27" s="123">
        <f>Reference!$R$23</f>
        <v>7.6782589999999998E-2</v>
      </c>
      <c r="AH27" s="105">
        <f t="shared" si="4"/>
        <v>51.857808176796944</v>
      </c>
      <c r="AI27" s="103"/>
      <c r="AJ27" s="166">
        <v>23</v>
      </c>
      <c r="AK27" s="24">
        <v>3.8099999999999999E-4</v>
      </c>
      <c r="AL27" s="24">
        <v>3.9515649830719271E-2</v>
      </c>
      <c r="AM27" s="24">
        <v>1597.6014559448304</v>
      </c>
      <c r="AN27" s="24">
        <v>4.9485000000000001E-2</v>
      </c>
      <c r="AO27" s="24">
        <v>1.0535336114857199E-2</v>
      </c>
      <c r="AP27" s="168">
        <v>0.37331538094085304</v>
      </c>
      <c r="AQ27" s="168">
        <v>5.2378693166727137</v>
      </c>
      <c r="AS27" s="134"/>
      <c r="AT27" s="136"/>
      <c r="AU27" s="104"/>
      <c r="AV27" s="104"/>
      <c r="AW27" s="104"/>
      <c r="AX27" s="135"/>
    </row>
    <row r="28" spans="1:64" s="105" customFormat="1" ht="13.8" thickBot="1">
      <c r="A28" s="57">
        <v>136</v>
      </c>
      <c r="B28" s="15">
        <v>0.72329861111111116</v>
      </c>
      <c r="C28" s="31">
        <v>0.72488425925925926</v>
      </c>
      <c r="D28" s="15">
        <v>0.7246527777777777</v>
      </c>
      <c r="E28" s="70"/>
      <c r="F28" s="39">
        <v>24</v>
      </c>
      <c r="G28" s="106" t="s">
        <v>63</v>
      </c>
      <c r="H28" s="58">
        <v>0.76200000000000001</v>
      </c>
      <c r="I28" s="28">
        <v>101325</v>
      </c>
      <c r="J28" s="19">
        <v>70</v>
      </c>
      <c r="K28" s="19">
        <v>22</v>
      </c>
      <c r="L28" s="19">
        <v>134</v>
      </c>
      <c r="M28" s="19">
        <v>1.54</v>
      </c>
      <c r="N28" s="19">
        <v>250</v>
      </c>
      <c r="O28" s="19">
        <v>423</v>
      </c>
      <c r="P28" s="19">
        <f>O28*Reference!$F$60+Reference!$F$61</f>
        <v>21.973157245733759</v>
      </c>
      <c r="Q28" s="132">
        <f>Reference!$L$23</f>
        <v>1597.6014559448304</v>
      </c>
      <c r="R28" s="133">
        <f>Reference!$W$23</f>
        <v>4.9485000000000001E-2</v>
      </c>
      <c r="S28" s="133">
        <f>Reference!$P$23</f>
        <v>1.0535336114857199E-2</v>
      </c>
      <c r="T28" s="19">
        <f>J28*Reference!$L$8</f>
        <v>33.665689149560116</v>
      </c>
      <c r="U28" s="19">
        <f>T28*0.75</f>
        <v>25.249266862170089</v>
      </c>
      <c r="V28" s="19">
        <f>T28*Reference!$L$23/(60*10^3)</f>
        <v>0.89640590001205533</v>
      </c>
      <c r="W28" s="19">
        <f>U28*Reference!$L$22/(60*1000)</f>
        <v>0.73367977824096986</v>
      </c>
      <c r="X28" s="19">
        <f>K28*Reference!$F$10+Reference!$F$11</f>
        <v>14.766368865871041</v>
      </c>
      <c r="Y28" s="19">
        <f t="shared" si="2"/>
        <v>123.03719871378857</v>
      </c>
      <c r="Z28" s="19">
        <f t="shared" si="3"/>
        <v>0.12001548328665092</v>
      </c>
      <c r="AA28" s="114">
        <f>(Y28/100)*Reference!$L$23*(H28/1000)/(Reference!$W$20)</f>
        <v>29.904979184602041</v>
      </c>
      <c r="AB28" s="114">
        <f>(Y28/100)*Reference!$L$23*(H28/1000)/(Reference!$P$26)</f>
        <v>79.671318480849877</v>
      </c>
      <c r="AC28" s="114">
        <f>(Y28/100)*Reference!$L$23*(H28/1000)/(Reference!$P$23)</f>
        <v>142.17114395882564</v>
      </c>
      <c r="AD28" s="115">
        <f>AA28/Reference!$R$23</f>
        <v>389.47604117811136</v>
      </c>
      <c r="AE28" s="123">
        <f>AB28/(Reference!$R$23)</f>
        <v>1037.6221807684512</v>
      </c>
      <c r="AF28" s="123">
        <f>V28/(Reference!$R$23)</f>
        <v>11.674598369396699</v>
      </c>
      <c r="AG28" s="123">
        <f>Reference!$R$23</f>
        <v>7.6782589999999998E-2</v>
      </c>
      <c r="AH28" s="105">
        <f t="shared" si="4"/>
        <v>28.836164364479998</v>
      </c>
      <c r="AI28" s="103"/>
      <c r="AJ28" s="166">
        <v>24</v>
      </c>
      <c r="AK28" s="24">
        <v>3.8099999999999999E-4</v>
      </c>
      <c r="AL28" s="24">
        <v>2.197315724573376E-2</v>
      </c>
      <c r="AM28" s="24">
        <v>1597.6014559448304</v>
      </c>
      <c r="AN28" s="24">
        <v>4.9485000000000001E-2</v>
      </c>
      <c r="AO28" s="24">
        <v>1.0535336114857199E-2</v>
      </c>
      <c r="AP28" s="168">
        <v>0.14766368865871041</v>
      </c>
      <c r="AQ28" s="168">
        <v>2.4607439742757715</v>
      </c>
      <c r="AS28" s="134"/>
      <c r="AT28" s="136"/>
      <c r="AU28" s="104"/>
      <c r="AV28" s="104"/>
      <c r="AW28" s="104"/>
      <c r="AX28" s="135"/>
    </row>
    <row r="29" spans="1:64" s="105" customFormat="1" ht="13.8" thickTop="1">
      <c r="A29" s="57">
        <v>136</v>
      </c>
      <c r="B29" s="15">
        <v>0.72329861111111116</v>
      </c>
      <c r="C29" s="31">
        <v>0.72488425925925926</v>
      </c>
      <c r="D29" s="15">
        <v>0.72351851851851856</v>
      </c>
      <c r="E29" s="70"/>
      <c r="F29" s="35">
        <v>25</v>
      </c>
      <c r="G29" s="106" t="s">
        <v>63</v>
      </c>
      <c r="H29" s="58">
        <v>0.76200000000000001</v>
      </c>
      <c r="I29" s="28">
        <v>101325</v>
      </c>
      <c r="J29" s="19">
        <v>68</v>
      </c>
      <c r="K29" s="19">
        <v>22</v>
      </c>
      <c r="L29" s="19">
        <v>134</v>
      </c>
      <c r="M29" s="19">
        <v>1.54</v>
      </c>
      <c r="N29" s="19">
        <v>250</v>
      </c>
      <c r="O29" s="19">
        <v>431</v>
      </c>
      <c r="P29" s="19">
        <f>O29*Reference!$F$60+Reference!$F$61</f>
        <v>20.154748835313043</v>
      </c>
      <c r="Q29" s="132">
        <f>Reference!$L$23</f>
        <v>1597.6014559448304</v>
      </c>
      <c r="R29" s="133">
        <f>Reference!$W$23</f>
        <v>4.9485000000000001E-2</v>
      </c>
      <c r="S29" s="133">
        <f>Reference!$P$23</f>
        <v>1.0535336114857199E-2</v>
      </c>
      <c r="T29" s="19">
        <f>J29*Reference!$L$8</f>
        <v>32.703812316715542</v>
      </c>
      <c r="U29" s="19">
        <f>T29*0.75</f>
        <v>24.527859237536656</v>
      </c>
      <c r="V29" s="19">
        <f>T29*Reference!$L$23/(60*10^3)</f>
        <v>0.87079430286885373</v>
      </c>
      <c r="W29" s="19">
        <f>U29*Reference!$L$22/(60*1000)</f>
        <v>0.71271749886265634</v>
      </c>
      <c r="X29" s="19">
        <f>K29*Reference!$F$10+Reference!$F$11</f>
        <v>14.766368865871041</v>
      </c>
      <c r="Y29" s="19">
        <f t="shared" si="2"/>
        <v>119.5218501791089</v>
      </c>
      <c r="Z29" s="19">
        <f t="shared" si="3"/>
        <v>0.12354535044214066</v>
      </c>
      <c r="AA29" s="114">
        <f>(Y29/100)*Reference!$L$23*(H29/1000)/(Reference!$W$20)</f>
        <v>29.050551207899129</v>
      </c>
      <c r="AB29" s="114">
        <f>(Y29/100)*Reference!$L$23*(H29/1000)/(Reference!$P$26)</f>
        <v>77.394995095682745</v>
      </c>
      <c r="AC29" s="114">
        <f>(Y29/100)*Reference!$L$23*(H29/1000)/(Reference!$P$23)</f>
        <v>138.10911127428778</v>
      </c>
      <c r="AD29" s="115">
        <f>AA29/Reference!$R$23</f>
        <v>378.34815428730826</v>
      </c>
      <c r="AE29" s="123">
        <f>AB29/(Reference!$R$23)</f>
        <v>1007.9758327464956</v>
      </c>
      <c r="AF29" s="123">
        <f>V29/(Reference!$R$23)</f>
        <v>11.341038415985365</v>
      </c>
      <c r="AG29" s="123">
        <f>Reference!$R$23</f>
        <v>7.6782589999999998E-2</v>
      </c>
      <c r="AH29" s="105">
        <f t="shared" si="4"/>
        <v>26.449801621145724</v>
      </c>
      <c r="AI29" s="103"/>
      <c r="AJ29" s="166">
        <v>25</v>
      </c>
      <c r="AK29" s="24">
        <v>3.8099999999999999E-4</v>
      </c>
      <c r="AL29" s="24">
        <v>2.0154748835313045E-2</v>
      </c>
      <c r="AM29" s="24">
        <v>1597.6014559448304</v>
      </c>
      <c r="AN29" s="24">
        <v>4.9485000000000001E-2</v>
      </c>
      <c r="AO29" s="24">
        <v>1.0535336114857199E-2</v>
      </c>
      <c r="AP29" s="168">
        <v>0.14766368865871041</v>
      </c>
      <c r="AQ29" s="168">
        <v>2.390437003582178</v>
      </c>
      <c r="AS29" s="134"/>
      <c r="AT29" s="136"/>
      <c r="AU29" s="104"/>
      <c r="AV29" s="104"/>
      <c r="AW29" s="104"/>
      <c r="AX29" s="135"/>
    </row>
    <row r="30" spans="1:64" s="105" customFormat="1" ht="13.8" thickBot="1">
      <c r="A30" s="80">
        <v>173</v>
      </c>
      <c r="B30" s="74">
        <v>0.52741898148148147</v>
      </c>
      <c r="C30" s="75">
        <v>0.52868055555555549</v>
      </c>
      <c r="D30" s="74">
        <v>0.52828703703703705</v>
      </c>
      <c r="E30" s="67"/>
      <c r="F30" s="39">
        <v>26</v>
      </c>
      <c r="G30" s="106" t="s">
        <v>63</v>
      </c>
      <c r="H30" s="58">
        <v>0.76200000000000001</v>
      </c>
      <c r="I30" s="28">
        <v>101325</v>
      </c>
      <c r="J30" s="19">
        <v>156</v>
      </c>
      <c r="K30" s="19">
        <v>47</v>
      </c>
      <c r="L30" s="19">
        <v>101</v>
      </c>
      <c r="M30" s="19">
        <v>3.72</v>
      </c>
      <c r="N30" s="19">
        <v>250</v>
      </c>
      <c r="O30" s="19">
        <v>328</v>
      </c>
      <c r="P30" s="19">
        <f>O30*Reference!$B$78+Reference!$B$79</f>
        <v>43.97615819320869</v>
      </c>
      <c r="Q30" s="132">
        <f>Reference!$L$23</f>
        <v>1597.6014559448304</v>
      </c>
      <c r="R30" s="133">
        <f>Reference!$W$23</f>
        <v>4.9485000000000001E-2</v>
      </c>
      <c r="S30" s="133">
        <f>Reference!$P$23</f>
        <v>1.0535336114857199E-2</v>
      </c>
      <c r="T30" s="19">
        <f>J30*Reference!$L$8</f>
        <v>75.026392961876837</v>
      </c>
      <c r="U30" s="19">
        <f>T30*0.75</f>
        <v>56.269794721407628</v>
      </c>
      <c r="V30" s="19">
        <f>T30*Reference!$L$23/(60*10^3)</f>
        <v>1.9977045771697235</v>
      </c>
      <c r="W30" s="19">
        <f>U30*Reference!$L$22/(60*1000)</f>
        <v>1.635057791508447</v>
      </c>
      <c r="X30" s="19">
        <f>K30*Reference!$F$10+Reference!$F$11</f>
        <v>38.271753478594235</v>
      </c>
      <c r="Y30" s="19">
        <f t="shared" si="2"/>
        <v>274.19718570501453</v>
      </c>
      <c r="Z30" s="19">
        <f t="shared" si="3"/>
        <v>0.13957748464919537</v>
      </c>
      <c r="AA30" s="114">
        <f>(Y30/100)*Reference!$L$23*(H30/1000)/(Reference!$W$20)</f>
        <v>66.645382182827419</v>
      </c>
      <c r="AB30" s="114">
        <f>(Y30/100)*Reference!$L$23*(H30/1000)/(Reference!$P$26)</f>
        <v>177.55322404303689</v>
      </c>
      <c r="AC30" s="114">
        <f>(Y30/100)*Reference!$L$23*(H30/1000)/(Reference!$P$23)</f>
        <v>316.83854939395434</v>
      </c>
      <c r="AD30" s="115">
        <f>AA30/Reference!$R$23</f>
        <v>867.97517748264841</v>
      </c>
      <c r="AE30" s="123">
        <f>AB30/(Reference!$R$23)</f>
        <v>2312.415145712549</v>
      </c>
      <c r="AF30" s="123">
        <f>V30/(Reference!$R$23)</f>
        <v>26.017676366084075</v>
      </c>
      <c r="AG30" s="123">
        <f>Reference!$R$23</f>
        <v>7.6782589999999998E-2</v>
      </c>
      <c r="AH30" s="105">
        <f t="shared" si="4"/>
        <v>57.711493691874921</v>
      </c>
      <c r="AI30" s="103"/>
      <c r="AJ30" s="166">
        <v>26</v>
      </c>
      <c r="AK30" s="24">
        <v>3.8099999999999999E-4</v>
      </c>
      <c r="AL30" s="24">
        <v>4.3976158193208686E-2</v>
      </c>
      <c r="AM30" s="24">
        <v>1597.6014559448304</v>
      </c>
      <c r="AN30" s="24">
        <v>4.9485000000000001E-2</v>
      </c>
      <c r="AO30" s="24">
        <v>1.0535336114857199E-2</v>
      </c>
      <c r="AP30" s="168">
        <v>0.38271753478594234</v>
      </c>
      <c r="AQ30" s="168">
        <v>5.4839437141002909</v>
      </c>
      <c r="AS30" s="134"/>
      <c r="AT30" s="136"/>
      <c r="AU30" s="104"/>
      <c r="AV30" s="104"/>
      <c r="AW30" s="104"/>
      <c r="AX30" s="135"/>
    </row>
    <row r="31" spans="1:64" s="105" customFormat="1" ht="16.5" customHeight="1" thickTop="1">
      <c r="A31" s="59" t="s">
        <v>66</v>
      </c>
      <c r="B31" s="15">
        <v>0.40224537037037034</v>
      </c>
      <c r="C31" s="31">
        <v>0.40339120370370374</v>
      </c>
      <c r="D31" s="15">
        <v>0.4029282407407408</v>
      </c>
      <c r="E31" s="27"/>
      <c r="F31" s="35">
        <v>27</v>
      </c>
      <c r="G31" s="26" t="s">
        <v>68</v>
      </c>
      <c r="H31" s="43">
        <v>1.6002000000000001</v>
      </c>
      <c r="I31" s="28">
        <v>101325</v>
      </c>
      <c r="J31" s="54">
        <v>205</v>
      </c>
      <c r="K31" s="54">
        <v>49</v>
      </c>
      <c r="L31" s="54">
        <v>106</v>
      </c>
      <c r="M31" s="19">
        <v>3.78</v>
      </c>
      <c r="N31" s="19">
        <v>250</v>
      </c>
      <c r="O31" s="19">
        <v>338</v>
      </c>
      <c r="P31" s="19">
        <f>O31*Reference!$J$42+Reference!$F$43</f>
        <v>41.72808115184219</v>
      </c>
      <c r="Q31" s="132">
        <f>Reference!$L$24</f>
        <v>1451.7547977421298</v>
      </c>
      <c r="R31" s="133">
        <f>Reference!$W$24</f>
        <v>4.9135999999999999E-2</v>
      </c>
      <c r="S31" s="133">
        <f>Reference!$P$24</f>
        <v>1.26801491808272E-2</v>
      </c>
      <c r="T31" s="19">
        <f>J31*Reference!$L$9</f>
        <v>119.21985815602838</v>
      </c>
      <c r="U31" s="19">
        <f t="shared" ref="U31:U37" si="6">T31*0.5</f>
        <v>59.60992907801419</v>
      </c>
      <c r="V31" s="19">
        <f>T31*Reference!$L$24/(60*10^3)</f>
        <v>2.8846333510691733</v>
      </c>
      <c r="W31" s="19">
        <f>U31*Reference!$L$22/(60*1000)</f>
        <v>1.7321136405921984</v>
      </c>
      <c r="X31" s="19">
        <f>K31*Reference!$F$10+Reference!$F$11</f>
        <v>40.152184247612084</v>
      </c>
      <c r="Y31" s="19">
        <f t="shared" si="2"/>
        <v>98.800453240050246</v>
      </c>
      <c r="Z31" s="19">
        <f t="shared" si="3"/>
        <v>0.40639676166319239</v>
      </c>
      <c r="AA31" s="114">
        <f>(Y31/100)*Reference!$L$24*(H31/1000)/(Reference!$W$24)</f>
        <v>46.711807640619078</v>
      </c>
      <c r="AB31" s="114">
        <f>(Y31/100)*Reference!$L$24*(H31/1000)/(Reference!$P$26)</f>
        <v>122.08677554412014</v>
      </c>
      <c r="AC31" s="114">
        <f>(Y31/100)*Reference!$L$24*(H31/1000)/(Reference!$P$24)</f>
        <v>181.00980891454523</v>
      </c>
      <c r="AD31" s="115">
        <f>AA31/Reference!$R$24</f>
        <v>458.71789666705467</v>
      </c>
      <c r="AE31" s="123">
        <f>AB31/(Reference!$R$24)</f>
        <v>1198.9129026932126</v>
      </c>
      <c r="AF31" s="123">
        <f>V31/(Reference!$R$24)</f>
        <v>28.327590181019843</v>
      </c>
      <c r="AG31" s="123">
        <f>Reference!$R$24</f>
        <v>0.10183122999999999</v>
      </c>
      <c r="AH31" s="105">
        <f t="shared" si="4"/>
        <v>26.07679112101124</v>
      </c>
      <c r="AI31" s="103"/>
      <c r="AJ31" s="166">
        <v>27</v>
      </c>
      <c r="AK31" s="24">
        <v>8.0009999999999999E-4</v>
      </c>
      <c r="AL31" s="24">
        <v>4.1728081151842192E-2</v>
      </c>
      <c r="AM31" s="24">
        <v>1451.7547977421298</v>
      </c>
      <c r="AN31" s="24">
        <v>4.9135999999999999E-2</v>
      </c>
      <c r="AO31" s="24">
        <v>1.26801491808272E-2</v>
      </c>
      <c r="AP31" s="168">
        <v>0.40152184247612083</v>
      </c>
      <c r="AQ31" s="168">
        <v>1.9760090648010049</v>
      </c>
      <c r="AS31" s="134"/>
      <c r="AT31" s="136"/>
      <c r="AU31" s="104"/>
      <c r="AV31" s="104"/>
      <c r="AW31" s="104"/>
      <c r="AX31" s="135"/>
      <c r="BI31" s="19"/>
    </row>
    <row r="32" spans="1:64" s="105" customFormat="1" ht="13.8" thickBot="1">
      <c r="A32" s="59" t="s">
        <v>66</v>
      </c>
      <c r="B32" s="15">
        <v>0.40016203703703707</v>
      </c>
      <c r="C32" s="31">
        <v>0.4013194444444444</v>
      </c>
      <c r="D32" s="15">
        <v>0.40103009259259265</v>
      </c>
      <c r="E32" s="27"/>
      <c r="F32" s="39">
        <v>28</v>
      </c>
      <c r="G32" s="26" t="s">
        <v>68</v>
      </c>
      <c r="H32" s="26">
        <v>1.6002000000000001</v>
      </c>
      <c r="I32" s="28">
        <v>101325</v>
      </c>
      <c r="J32" s="19">
        <v>156</v>
      </c>
      <c r="K32" s="19">
        <v>34</v>
      </c>
      <c r="L32" s="19">
        <v>81</v>
      </c>
      <c r="M32" s="19">
        <v>2.78</v>
      </c>
      <c r="N32" s="19">
        <v>250</v>
      </c>
      <c r="O32" s="19">
        <v>378</v>
      </c>
      <c r="P32" s="19">
        <f>O32*Reference!$J$42+Reference!$F$43</f>
        <v>32.501314628506648</v>
      </c>
      <c r="Q32" s="132">
        <f>Reference!$L$24</f>
        <v>1451.7547977421298</v>
      </c>
      <c r="R32" s="133">
        <f>Reference!$W$24</f>
        <v>4.9135999999999999E-2</v>
      </c>
      <c r="S32" s="133">
        <f>Reference!$P$24</f>
        <v>1.26801491808272E-2</v>
      </c>
      <c r="T32" s="19">
        <f>J32*Reference!$L$9</f>
        <v>90.723404255319153</v>
      </c>
      <c r="U32" s="19">
        <f t="shared" si="6"/>
        <v>45.361702127659576</v>
      </c>
      <c r="V32" s="19">
        <f>T32*Reference!$L$24/(60*10^3)</f>
        <v>2.1951356232526389</v>
      </c>
      <c r="W32" s="19">
        <f>U32*Reference!$L$22/(60*1000)</f>
        <v>1.3180962338165021</v>
      </c>
      <c r="X32" s="19">
        <f>K32*Reference!$F$10+Reference!$F$11</f>
        <v>26.048953479978174</v>
      </c>
      <c r="Y32" s="19">
        <f t="shared" si="2"/>
        <v>75.18473514852603</v>
      </c>
      <c r="Z32" s="19">
        <f t="shared" si="3"/>
        <v>0.34646598712516519</v>
      </c>
      <c r="AA32" s="114">
        <f>(Y32/100)*Reference!$L$24*(H32/1000)/(Reference!$W$24)</f>
        <v>35.546546302129634</v>
      </c>
      <c r="AB32" s="114">
        <f>(Y32/100)*Reference!$L$24*(H32/1000)/(Reference!$P$26)</f>
        <v>92.905058462842632</v>
      </c>
      <c r="AC32" s="114">
        <f>(Y32/100)*Reference!$L$24*(H32/1000)/(Reference!$P$24)</f>
        <v>137.74404971058073</v>
      </c>
      <c r="AD32" s="115">
        <f>AA32/Reference!$R$24</f>
        <v>349.07313112224642</v>
      </c>
      <c r="AE32" s="123">
        <f>AB32/(Reference!$R$24)</f>
        <v>912.3434771714202</v>
      </c>
      <c r="AF32" s="123">
        <f>V32/(Reference!$R$24)</f>
        <v>21.556605210922417</v>
      </c>
      <c r="AG32" s="123">
        <f>Reference!$R$24</f>
        <v>0.10183122999999999</v>
      </c>
      <c r="AH32" s="105">
        <f t="shared" si="4"/>
        <v>20.310782794967285</v>
      </c>
      <c r="AI32" s="103"/>
      <c r="AJ32" s="166">
        <v>28</v>
      </c>
      <c r="AK32" s="24">
        <v>8.0009999999999999E-4</v>
      </c>
      <c r="AL32" s="24">
        <v>3.2501314628506646E-2</v>
      </c>
      <c r="AM32" s="24">
        <v>1451.7547977421298</v>
      </c>
      <c r="AN32" s="24">
        <v>4.9135999999999999E-2</v>
      </c>
      <c r="AO32" s="24">
        <v>1.26801491808272E-2</v>
      </c>
      <c r="AP32" s="168">
        <v>0.26048953479978176</v>
      </c>
      <c r="AQ32" s="168">
        <v>1.5036947029705205</v>
      </c>
      <c r="AS32" s="134"/>
      <c r="AT32" s="136"/>
      <c r="AU32" s="104"/>
      <c r="AV32" s="104"/>
      <c r="AW32" s="104"/>
      <c r="AX32" s="135"/>
      <c r="BI32" s="19"/>
    </row>
    <row r="33" spans="1:67" s="105" customFormat="1" ht="14.4" thickTop="1" thickBot="1">
      <c r="A33" s="73">
        <v>167</v>
      </c>
      <c r="B33" s="74">
        <v>0.38902777777777775</v>
      </c>
      <c r="C33" s="75">
        <v>0.3915393518518519</v>
      </c>
      <c r="D33" s="74">
        <v>0.39138888888888884</v>
      </c>
      <c r="E33" s="71"/>
      <c r="F33" s="35">
        <v>29</v>
      </c>
      <c r="G33" s="26" t="s">
        <v>68</v>
      </c>
      <c r="H33" s="43">
        <v>1.6002000000000001</v>
      </c>
      <c r="I33" s="42">
        <v>101325</v>
      </c>
      <c r="J33" s="21">
        <v>115</v>
      </c>
      <c r="K33" s="21">
        <v>20</v>
      </c>
      <c r="L33" s="21">
        <v>55</v>
      </c>
      <c r="M33" s="21">
        <v>2.16</v>
      </c>
      <c r="N33" s="21">
        <v>250</v>
      </c>
      <c r="O33" s="21">
        <v>406</v>
      </c>
      <c r="P33" s="19">
        <f>O33*Reference!$N$60+Reference!$N$61</f>
        <v>26.515626471498351</v>
      </c>
      <c r="Q33" s="132">
        <f>Reference!$L$24</f>
        <v>1451.7547977421298</v>
      </c>
      <c r="R33" s="133">
        <f>Reference!$W$24</f>
        <v>4.9135999999999999E-2</v>
      </c>
      <c r="S33" s="133">
        <f>Reference!$P$24</f>
        <v>1.26801491808272E-2</v>
      </c>
      <c r="T33" s="19">
        <f>J33*Reference!$L$9</f>
        <v>66.879432624113477</v>
      </c>
      <c r="U33" s="19">
        <f t="shared" si="6"/>
        <v>33.439716312056738</v>
      </c>
      <c r="V33" s="19">
        <f>T33*Reference!$L$24/(60*10^3)</f>
        <v>1.6182089530388044</v>
      </c>
      <c r="W33" s="19">
        <f>U33*Reference!$L$22/(60*1000)</f>
        <v>0.97167350569806243</v>
      </c>
      <c r="X33" s="19">
        <f>K33*Reference!$F$10+Reference!$F$11</f>
        <v>12.885938096853188</v>
      </c>
      <c r="Y33" s="19">
        <f t="shared" si="2"/>
        <v>55.424644500515988</v>
      </c>
      <c r="Z33" s="19">
        <f t="shared" si="3"/>
        <v>0.23249473610486077</v>
      </c>
      <c r="AA33" s="114">
        <f>(Y33/100)*Reference!$L$24*(H33/1000)/(Reference!$W$24)</f>
        <v>26.204184774005821</v>
      </c>
      <c r="AB33" s="114">
        <f>(Y33/100)*Reference!$L$24*(H33/1000)/(Reference!$P$26)</f>
        <v>68.48770335401862</v>
      </c>
      <c r="AC33" s="114">
        <f>(Y33/100)*Reference!$L$24*(H33/1000)/(Reference!$P$24)</f>
        <v>101.54208792767172</v>
      </c>
      <c r="AD33" s="115">
        <f>AA33/Reference!$R$24</f>
        <v>257.32955178883554</v>
      </c>
      <c r="AE33" s="123">
        <f>AB33/(Reference!$R$24)</f>
        <v>672.56089663277783</v>
      </c>
      <c r="AF33" s="123">
        <f>V33/(Reference!$R$24)</f>
        <v>15.891087174718448</v>
      </c>
      <c r="AG33" s="123">
        <f>Reference!$R$24</f>
        <v>0.10183122999999999</v>
      </c>
      <c r="AH33" s="105">
        <f t="shared" si="4"/>
        <v>16.570195270277683</v>
      </c>
      <c r="AI33" s="103"/>
      <c r="AJ33" s="166">
        <v>29</v>
      </c>
      <c r="AK33" s="24">
        <v>8.0009999999999999E-4</v>
      </c>
      <c r="AL33" s="24">
        <v>2.6515626471498351E-2</v>
      </c>
      <c r="AM33" s="24">
        <v>1451.7547977421298</v>
      </c>
      <c r="AN33" s="24">
        <v>4.9135999999999999E-2</v>
      </c>
      <c r="AO33" s="24">
        <v>1.26801491808272E-2</v>
      </c>
      <c r="AP33" s="168">
        <v>0.12885938096853189</v>
      </c>
      <c r="AQ33" s="168">
        <v>1.1084928900103197</v>
      </c>
      <c r="AS33" s="134"/>
      <c r="AT33" s="136"/>
      <c r="AU33" s="104"/>
      <c r="AV33" s="104"/>
      <c r="AW33" s="104"/>
      <c r="AX33" s="135"/>
      <c r="BI33" s="19"/>
    </row>
    <row r="34" spans="1:67" s="105" customFormat="1" ht="14.4" thickTop="1" thickBot="1">
      <c r="A34" s="73">
        <v>167</v>
      </c>
      <c r="B34" s="74">
        <v>0.39672453703703708</v>
      </c>
      <c r="C34" s="75">
        <v>0.39787037037037037</v>
      </c>
      <c r="D34" s="74">
        <v>0.39777777777777779</v>
      </c>
      <c r="E34" s="67"/>
      <c r="F34" s="39">
        <v>30</v>
      </c>
      <c r="G34" s="26" t="s">
        <v>68</v>
      </c>
      <c r="H34" s="26">
        <v>1.6002000000000001</v>
      </c>
      <c r="I34" s="28">
        <v>101325</v>
      </c>
      <c r="J34" s="14">
        <v>155</v>
      </c>
      <c r="K34" s="14">
        <v>34</v>
      </c>
      <c r="L34" s="14">
        <v>73</v>
      </c>
      <c r="M34" s="14">
        <v>2.69</v>
      </c>
      <c r="N34" s="21">
        <v>250</v>
      </c>
      <c r="O34" s="19">
        <v>376</v>
      </c>
      <c r="P34" s="19">
        <f>O34*Reference!$N$60+Reference!$N$61</f>
        <v>33.41256921447696</v>
      </c>
      <c r="Q34" s="132">
        <f>Reference!$L$24</f>
        <v>1451.7547977421298</v>
      </c>
      <c r="R34" s="133">
        <f>Reference!$W$24</f>
        <v>4.9135999999999999E-2</v>
      </c>
      <c r="S34" s="133">
        <f>Reference!$P$24</f>
        <v>1.26801491808272E-2</v>
      </c>
      <c r="T34" s="19">
        <f>J34*Reference!$L$9</f>
        <v>90.141843971631218</v>
      </c>
      <c r="U34" s="19">
        <f t="shared" si="6"/>
        <v>45.070921985815609</v>
      </c>
      <c r="V34" s="19">
        <f>T34*Reference!$L$24/(60*10^3)</f>
        <v>2.1810642410523013</v>
      </c>
      <c r="W34" s="19">
        <f>U34*Reference!$L$22/(60*1000)</f>
        <v>1.3096468989843453</v>
      </c>
      <c r="X34" s="19">
        <f>K34*Reference!$F$10+Reference!$F$11</f>
        <v>26.048953479978174</v>
      </c>
      <c r="Y34" s="19">
        <f t="shared" si="2"/>
        <v>74.702781718086769</v>
      </c>
      <c r="Z34" s="19">
        <f t="shared" si="3"/>
        <v>0.34870125155823073</v>
      </c>
      <c r="AA34" s="114">
        <f>(Y34/100)*Reference!$L$24*(H34/1000)/(Reference!$W$24)</f>
        <v>35.318683825833936</v>
      </c>
      <c r="AB34" s="114">
        <f>(Y34/100)*Reference!$L$24*(H34/1000)/(Reference!$P$26)</f>
        <v>92.309513216285964</v>
      </c>
      <c r="AC34" s="114">
        <f>(Y34/100)*Reference!$L$24*(H34/1000)/(Reference!$P$24)</f>
        <v>136.86107503294883</v>
      </c>
      <c r="AD34" s="115">
        <f>AA34/Reference!$R$24</f>
        <v>346.83548284582184</v>
      </c>
      <c r="AE34" s="123">
        <f>AB34/(Reference!$R$24)</f>
        <v>906.49512154852664</v>
      </c>
      <c r="AF34" s="123">
        <f>V34/(Reference!$R$24)</f>
        <v>21.418421844185733</v>
      </c>
      <c r="AG34" s="123">
        <f>Reference!$R$24</f>
        <v>0.10183122999999999</v>
      </c>
      <c r="AH34" s="105">
        <f t="shared" si="4"/>
        <v>20.880245728332056</v>
      </c>
      <c r="AI34" s="103"/>
      <c r="AJ34" s="166">
        <v>30</v>
      </c>
      <c r="AK34" s="24">
        <v>8.0009999999999999E-4</v>
      </c>
      <c r="AL34" s="24">
        <v>3.341256921447696E-2</v>
      </c>
      <c r="AM34" s="24">
        <v>1451.7547977421298</v>
      </c>
      <c r="AN34" s="24">
        <v>4.9135999999999999E-2</v>
      </c>
      <c r="AO34" s="24">
        <v>1.26801491808272E-2</v>
      </c>
      <c r="AP34" s="168">
        <v>0.26048953479978176</v>
      </c>
      <c r="AQ34" s="168">
        <v>1.4940556343617353</v>
      </c>
      <c r="AS34" s="134"/>
      <c r="AT34" s="136"/>
      <c r="AU34" s="104"/>
      <c r="AV34" s="104"/>
      <c r="AW34" s="104"/>
      <c r="AX34" s="135"/>
      <c r="BI34" s="19"/>
      <c r="BM34" s="85"/>
      <c r="BN34" s="85"/>
      <c r="BO34" s="18"/>
    </row>
    <row r="35" spans="1:67" s="105" customFormat="1" ht="13.8" thickTop="1">
      <c r="A35" s="73">
        <v>167</v>
      </c>
      <c r="B35" s="74">
        <v>0.40240740740740738</v>
      </c>
      <c r="C35" s="75">
        <v>0.40393518518518517</v>
      </c>
      <c r="D35" s="74">
        <v>0.40346064814814814</v>
      </c>
      <c r="E35" s="67"/>
      <c r="F35" s="35">
        <v>31</v>
      </c>
      <c r="G35" s="26" t="s">
        <v>68</v>
      </c>
      <c r="H35" s="26">
        <v>1.6002000000000001</v>
      </c>
      <c r="I35" s="28">
        <v>101325</v>
      </c>
      <c r="J35" s="19">
        <v>207</v>
      </c>
      <c r="K35" s="19">
        <v>49</v>
      </c>
      <c r="L35" s="19">
        <v>97</v>
      </c>
      <c r="M35" s="19">
        <v>3.57</v>
      </c>
      <c r="N35" s="19">
        <v>250</v>
      </c>
      <c r="O35" s="19">
        <v>337</v>
      </c>
      <c r="P35" s="19">
        <f>O35*Reference!$N$60+Reference!$N$61</f>
        <v>42.378594780349147</v>
      </c>
      <c r="Q35" s="132">
        <f>Reference!$L$24</f>
        <v>1451.7547977421298</v>
      </c>
      <c r="R35" s="133">
        <f>Reference!$W$24</f>
        <v>4.9135999999999999E-2</v>
      </c>
      <c r="S35" s="133">
        <f>Reference!$P$24</f>
        <v>1.26801491808272E-2</v>
      </c>
      <c r="T35" s="19">
        <f>J35*Reference!$L$9</f>
        <v>120.38297872340426</v>
      </c>
      <c r="U35" s="19">
        <f t="shared" si="6"/>
        <v>60.191489361702132</v>
      </c>
      <c r="V35" s="19">
        <f>T35*Reference!$L$24/(60*10^3)</f>
        <v>2.9127761154698479</v>
      </c>
      <c r="W35" s="19">
        <f>U35*Reference!$L$22/(60*1000)</f>
        <v>1.7490123102565127</v>
      </c>
      <c r="X35" s="19">
        <f>K35*Reference!$F$10+Reference!$F$11</f>
        <v>40.152184247612084</v>
      </c>
      <c r="Y35" s="19">
        <f t="shared" si="2"/>
        <v>99.764360100928783</v>
      </c>
      <c r="Z35" s="19">
        <f t="shared" si="3"/>
        <v>0.40247022290316153</v>
      </c>
      <c r="AA35" s="114">
        <f>(Y35/100)*Reference!$L$24*(H35/1000)/(Reference!$W$24)</f>
        <v>47.167532593210481</v>
      </c>
      <c r="AB35" s="114">
        <f>(Y35/100)*Reference!$L$24*(H35/1000)/(Reference!$P$26)</f>
        <v>123.27786603723351</v>
      </c>
      <c r="AC35" s="114">
        <f>(Y35/100)*Reference!$L$24*(H35/1000)/(Reference!$P$24)</f>
        <v>182.77575826980907</v>
      </c>
      <c r="AD35" s="115">
        <f>AA35/Reference!$R$24</f>
        <v>463.193193219904</v>
      </c>
      <c r="AE35" s="123">
        <f>AB35/(Reference!$R$24)</f>
        <v>1210.6096139389999</v>
      </c>
      <c r="AF35" s="123">
        <f>V35/(Reference!$R$24)</f>
        <v>28.603956914493207</v>
      </c>
      <c r="AG35" s="123">
        <f>Reference!$R$24</f>
        <v>0.10183122999999999</v>
      </c>
      <c r="AH35" s="105">
        <f t="shared" si="4"/>
        <v>26.483311323802742</v>
      </c>
      <c r="AI35" s="103"/>
      <c r="AJ35" s="166">
        <v>31</v>
      </c>
      <c r="AK35" s="24">
        <v>8.0009999999999999E-4</v>
      </c>
      <c r="AL35" s="24">
        <v>4.2378594780349145E-2</v>
      </c>
      <c r="AM35" s="24">
        <v>1451.7547977421298</v>
      </c>
      <c r="AN35" s="24">
        <v>4.9135999999999999E-2</v>
      </c>
      <c r="AO35" s="24">
        <v>1.26801491808272E-2</v>
      </c>
      <c r="AP35" s="168">
        <v>0.40152184247612083</v>
      </c>
      <c r="AQ35" s="168">
        <v>1.9952872020185757</v>
      </c>
      <c r="AS35" s="134"/>
      <c r="AT35" s="136"/>
      <c r="AU35" s="104"/>
      <c r="AV35" s="104"/>
      <c r="AW35" s="104"/>
      <c r="AX35" s="135"/>
      <c r="BI35" s="19"/>
      <c r="BM35" s="19"/>
    </row>
    <row r="36" spans="1:67" s="105" customFormat="1" ht="13.8" thickBot="1">
      <c r="A36" s="73">
        <v>167</v>
      </c>
      <c r="B36" s="74">
        <v>0.40615740740740741</v>
      </c>
      <c r="C36" s="75">
        <v>0.40743055555555557</v>
      </c>
      <c r="D36" s="74">
        <v>0.40666666666666668</v>
      </c>
      <c r="E36" s="67"/>
      <c r="F36" s="39">
        <v>32</v>
      </c>
      <c r="G36" s="26" t="s">
        <v>68</v>
      </c>
      <c r="H36" s="26">
        <v>1.6002000000000001</v>
      </c>
      <c r="I36" s="28">
        <v>101325</v>
      </c>
      <c r="J36" s="19">
        <v>234</v>
      </c>
      <c r="K36" s="19">
        <v>58</v>
      </c>
      <c r="L36" s="19">
        <v>110</v>
      </c>
      <c r="M36" s="19">
        <v>3.77</v>
      </c>
      <c r="N36" s="19">
        <v>250</v>
      </c>
      <c r="O36" s="19">
        <v>306</v>
      </c>
      <c r="P36" s="19">
        <f>O36*Reference!$N$60+Reference!$N$61</f>
        <v>49.505435614760387</v>
      </c>
      <c r="Q36" s="132">
        <f>Reference!$L$24</f>
        <v>1451.7547977421298</v>
      </c>
      <c r="R36" s="133">
        <f>Reference!$W$24</f>
        <v>4.9135999999999999E-2</v>
      </c>
      <c r="S36" s="133">
        <f>Reference!$P$24</f>
        <v>1.26801491808272E-2</v>
      </c>
      <c r="T36" s="19">
        <f>J36*Reference!$L$9</f>
        <v>136.08510638297875</v>
      </c>
      <c r="U36" s="19">
        <f t="shared" si="6"/>
        <v>68.042553191489375</v>
      </c>
      <c r="V36" s="19">
        <f>T36*Reference!$L$24/(60*10^3)</f>
        <v>3.292703434878959</v>
      </c>
      <c r="W36" s="19">
        <f>U36*Reference!$L$22/(60*1000)</f>
        <v>1.9771443507247537</v>
      </c>
      <c r="X36" s="19">
        <f>K36*Reference!$F$10+Reference!$F$11</f>
        <v>48.614122708192433</v>
      </c>
      <c r="Y36" s="19">
        <f t="shared" si="2"/>
        <v>112.77710272278907</v>
      </c>
      <c r="Z36" s="19">
        <f t="shared" si="3"/>
        <v>0.43106376679748565</v>
      </c>
      <c r="AA36" s="114">
        <f>(Y36/100)*Reference!$L$24*(H36/1000)/(Reference!$W$24)</f>
        <v>53.319819453194462</v>
      </c>
      <c r="AB36" s="114">
        <f>(Y36/100)*Reference!$L$24*(H36/1000)/(Reference!$P$26)</f>
        <v>139.35758769426397</v>
      </c>
      <c r="AC36" s="114">
        <f>(Y36/100)*Reference!$L$24*(H36/1000)/(Reference!$P$24)</f>
        <v>206.61607456587117</v>
      </c>
      <c r="AD36" s="115">
        <f>AA36/Reference!$R$24</f>
        <v>523.60969668336975</v>
      </c>
      <c r="AE36" s="123">
        <f>AB36/(Reference!$R$24)</f>
        <v>1368.5152157571304</v>
      </c>
      <c r="AF36" s="123">
        <f>V36/(Reference!$R$24)</f>
        <v>32.334907816383627</v>
      </c>
      <c r="AG36" s="123">
        <f>Reference!$R$24</f>
        <v>0.10183122999999999</v>
      </c>
      <c r="AH36" s="105">
        <f t="shared" si="4"/>
        <v>30.937030130458933</v>
      </c>
      <c r="AI36" s="103"/>
      <c r="AJ36" s="166">
        <v>32</v>
      </c>
      <c r="AK36" s="24">
        <v>8.0009999999999999E-4</v>
      </c>
      <c r="AL36" s="24">
        <v>4.9505435614760389E-2</v>
      </c>
      <c r="AM36" s="24">
        <v>1451.7547977421298</v>
      </c>
      <c r="AN36" s="24">
        <v>4.9135999999999999E-2</v>
      </c>
      <c r="AO36" s="24">
        <v>1.26801491808272E-2</v>
      </c>
      <c r="AP36" s="168">
        <v>0.48614122708192431</v>
      </c>
      <c r="AQ36" s="168">
        <v>2.2555420544557814</v>
      </c>
      <c r="AS36" s="134"/>
      <c r="AT36" s="136"/>
      <c r="AU36" s="104"/>
      <c r="AV36" s="104"/>
      <c r="AW36" s="104"/>
      <c r="AX36" s="135"/>
      <c r="BI36" s="19"/>
    </row>
    <row r="37" spans="1:67" s="105" customFormat="1" ht="13.8" thickTop="1">
      <c r="A37" s="59" t="s">
        <v>66</v>
      </c>
      <c r="B37" s="15">
        <v>0.37240740740740735</v>
      </c>
      <c r="C37" s="31">
        <v>0.37398148148148147</v>
      </c>
      <c r="D37" s="15">
        <v>0.37254629629629626</v>
      </c>
      <c r="E37" s="27"/>
      <c r="F37" s="35">
        <v>33</v>
      </c>
      <c r="G37" s="26" t="s">
        <v>68</v>
      </c>
      <c r="H37" s="26">
        <v>1.6002000000000001</v>
      </c>
      <c r="I37" s="28">
        <v>101325</v>
      </c>
      <c r="J37" s="19">
        <v>103</v>
      </c>
      <c r="K37" s="19">
        <v>18</v>
      </c>
      <c r="L37" s="19">
        <v>56</v>
      </c>
      <c r="M37" s="19">
        <v>0.49</v>
      </c>
      <c r="N37" s="19">
        <v>250</v>
      </c>
      <c r="O37" s="19">
        <v>423</v>
      </c>
      <c r="P37" s="19">
        <f>O37*Reference!$J$42+Reference!$F$43</f>
        <v>22.121202289754166</v>
      </c>
      <c r="Q37" s="132">
        <f>Reference!$L$24</f>
        <v>1451.7547977421298</v>
      </c>
      <c r="R37" s="133">
        <f>Reference!$W$24</f>
        <v>4.9135999999999999E-2</v>
      </c>
      <c r="S37" s="133">
        <f>Reference!$P$24</f>
        <v>1.26801491808272E-2</v>
      </c>
      <c r="T37" s="19">
        <f>J37*Reference!$L$9</f>
        <v>59.900709219858165</v>
      </c>
      <c r="U37" s="19">
        <f t="shared" si="6"/>
        <v>29.950354609929082</v>
      </c>
      <c r="V37" s="19">
        <f>T37*Reference!$L$24/(60*10^3)</f>
        <v>1.4493523666347554</v>
      </c>
      <c r="W37" s="19">
        <f>U37*Reference!$L$22/(60*1000)</f>
        <v>0.87028148771217784</v>
      </c>
      <c r="X37" s="19">
        <f>K37*Reference!$F$10+Reference!$F$11</f>
        <v>11.005507327835332</v>
      </c>
      <c r="Y37" s="19">
        <f t="shared" ref="Y37:Y59" si="7">(T37/(PI()/4*((H37/10)^2)*60))</f>
        <v>49.641203335244761</v>
      </c>
      <c r="Z37" s="19">
        <f t="shared" ref="Z37:Z59" si="8">X37/(T37/(PI()/4*((H37/10)^2)*60))</f>
        <v>0.22170105856441902</v>
      </c>
      <c r="AA37" s="114">
        <f>(Y37/100)*Reference!$L$24*(H37/1000)/(Reference!$W$24)</f>
        <v>23.469835058457392</v>
      </c>
      <c r="AB37" s="114">
        <f>(Y37/100)*Reference!$L$24*(H37/1000)/(Reference!$P$26)</f>
        <v>61.34116039533842</v>
      </c>
      <c r="AC37" s="114">
        <f>(Y37/100)*Reference!$L$24*(H37/1000)/(Reference!$P$24)</f>
        <v>90.946391796088591</v>
      </c>
      <c r="AD37" s="115">
        <f>AA37/Reference!$R$24</f>
        <v>230.47777247173968</v>
      </c>
      <c r="AE37" s="123">
        <f>AB37/(Reference!$R$24)</f>
        <v>602.38062915805324</v>
      </c>
      <c r="AF37" s="123">
        <f>V37/(Reference!$R$24)</f>
        <v>14.232886773878263</v>
      </c>
      <c r="AG37" s="123">
        <f>Reference!$R$24</f>
        <v>0.10183122999999999</v>
      </c>
      <c r="AH37" s="105">
        <f t="shared" ref="AH37:AH59" si="9">P37/H37</f>
        <v>13.824023428167832</v>
      </c>
      <c r="AI37" s="103"/>
      <c r="AJ37" s="166">
        <v>33</v>
      </c>
      <c r="AK37" s="24">
        <v>8.0009999999999999E-4</v>
      </c>
      <c r="AL37" s="24">
        <v>2.2121202289754165E-2</v>
      </c>
      <c r="AM37" s="24">
        <v>1451.7547977421298</v>
      </c>
      <c r="AN37" s="24">
        <v>4.9135999999999999E-2</v>
      </c>
      <c r="AO37" s="24">
        <v>1.26801491808272E-2</v>
      </c>
      <c r="AP37" s="168">
        <v>0.11005507327835332</v>
      </c>
      <c r="AQ37" s="168">
        <v>0.9928240667048952</v>
      </c>
      <c r="AS37" s="134"/>
      <c r="AT37" s="136"/>
      <c r="AU37" s="104"/>
      <c r="AV37" s="104"/>
      <c r="AW37" s="104"/>
      <c r="AX37" s="135"/>
      <c r="BI37" s="19"/>
    </row>
    <row r="38" spans="1:67" s="105" customFormat="1" ht="13.8" thickBot="1">
      <c r="A38" s="60" t="s">
        <v>70</v>
      </c>
      <c r="B38" s="15">
        <v>0.41340277777777779</v>
      </c>
      <c r="C38" s="31">
        <v>0.41423611111111108</v>
      </c>
      <c r="D38" s="15">
        <v>0.41356481481481483</v>
      </c>
      <c r="E38" s="67"/>
      <c r="F38" s="39">
        <v>34</v>
      </c>
      <c r="G38" s="61" t="s">
        <v>17</v>
      </c>
      <c r="H38" s="26">
        <v>1.6002000000000001</v>
      </c>
      <c r="I38" s="28">
        <v>101325</v>
      </c>
      <c r="J38" s="19">
        <v>84</v>
      </c>
      <c r="K38" s="19">
        <v>61</v>
      </c>
      <c r="L38" s="19">
        <v>139</v>
      </c>
      <c r="M38" s="19">
        <v>2.08</v>
      </c>
      <c r="N38" s="19">
        <v>250</v>
      </c>
      <c r="O38" s="19">
        <v>414</v>
      </c>
      <c r="P38" s="19">
        <f>O38*Reference!$N$42+Reference!$N$43</f>
        <v>25.731627702244865</v>
      </c>
      <c r="Q38" s="132">
        <f>Reference!$L$22</f>
        <v>1743.448114147531</v>
      </c>
      <c r="R38" s="133">
        <f>Reference!$W$22</f>
        <v>4.9660000000000003E-2</v>
      </c>
      <c r="S38" s="133">
        <f>Reference!$P$22</f>
        <v>8.5879367469879498E-3</v>
      </c>
      <c r="T38" s="19">
        <f>J38*Reference!$L$7</f>
        <v>34.44</v>
      </c>
      <c r="U38" s="19">
        <f t="shared" ref="U38:U59" si="10">T38</f>
        <v>34.44</v>
      </c>
      <c r="V38" s="19">
        <f>T38*Reference!$L$22/(60*10^3)</f>
        <v>1.0007392175206826</v>
      </c>
      <c r="W38" s="19">
        <f t="shared" ref="W38:W59" si="11">V38</f>
        <v>1.0007392175206826</v>
      </c>
      <c r="X38" s="19">
        <f>K38*Reference!$F$10+Reference!$F$11</f>
        <v>51.43476886171922</v>
      </c>
      <c r="Y38" s="19">
        <f t="shared" si="7"/>
        <v>28.541282150613537</v>
      </c>
      <c r="Z38" s="19">
        <f t="shared" si="8"/>
        <v>1.8021183698158969</v>
      </c>
      <c r="AA38" s="114">
        <f>(Y38/100)*Reference!$L$22*(H38/1000)/(Reference!$W$22)</f>
        <v>16.034301915878327</v>
      </c>
      <c r="AB38" s="114">
        <f>(Y38/100)*Reference!$L$22*(H38/1000)/(Reference!$P$26)</f>
        <v>42.354437933112649</v>
      </c>
      <c r="AC38" s="114">
        <f>(Y38/100)*Reference!$L$22*(H38/1000)/(Reference!$P$22)</f>
        <v>92.718828352082539</v>
      </c>
      <c r="AD38" s="115">
        <f>AA38/Reference!$R$22</f>
        <v>251.58949846040181</v>
      </c>
      <c r="AE38" s="123">
        <f>AB38/(Reference!$R$22)</f>
        <v>664.57098369912524</v>
      </c>
      <c r="AF38" s="123">
        <f>V38/(Reference!$R$22)</f>
        <v>15.702303670380385</v>
      </c>
      <c r="AG38" s="123">
        <f>Reference!$R$24</f>
        <v>0.10183122999999999</v>
      </c>
      <c r="AH38" s="105">
        <f t="shared" si="9"/>
        <v>16.080257281742821</v>
      </c>
      <c r="AI38" s="103"/>
      <c r="AJ38" s="166">
        <v>34</v>
      </c>
      <c r="AK38" s="24">
        <v>8.0009999999999999E-4</v>
      </c>
      <c r="AL38" s="24">
        <v>2.5731627702244863E-2</v>
      </c>
      <c r="AM38" s="24">
        <v>1743.448114147531</v>
      </c>
      <c r="AN38" s="24">
        <v>4.9660000000000003E-2</v>
      </c>
      <c r="AO38" s="24">
        <v>8.5879367469879498E-3</v>
      </c>
      <c r="AP38" s="168">
        <v>0.51434768861719216</v>
      </c>
      <c r="AQ38" s="168">
        <v>0.57082564301227068</v>
      </c>
      <c r="AS38" s="134"/>
      <c r="AT38" s="136"/>
      <c r="AU38" s="104"/>
      <c r="AV38" s="104"/>
      <c r="AW38" s="104"/>
      <c r="AX38" s="135"/>
      <c r="BI38" s="19"/>
      <c r="BJ38" s="85"/>
      <c r="BM38" s="85"/>
      <c r="BN38" s="85"/>
      <c r="BO38" s="18"/>
    </row>
    <row r="39" spans="1:67" s="105" customFormat="1" ht="13.8" thickTop="1">
      <c r="A39" s="60" t="s">
        <v>70</v>
      </c>
      <c r="B39" s="15">
        <v>0.40769675925925924</v>
      </c>
      <c r="C39" s="31">
        <v>0.40846064814814814</v>
      </c>
      <c r="D39" s="15">
        <v>0.40797453703703707</v>
      </c>
      <c r="E39" s="27"/>
      <c r="F39" s="35">
        <v>35</v>
      </c>
      <c r="G39" s="61" t="s">
        <v>17</v>
      </c>
      <c r="H39" s="26">
        <v>1.6002000000000001</v>
      </c>
      <c r="I39" s="28">
        <v>101325</v>
      </c>
      <c r="J39" s="19">
        <v>61</v>
      </c>
      <c r="K39" s="19">
        <v>42</v>
      </c>
      <c r="L39" s="19">
        <v>105</v>
      </c>
      <c r="M39" s="19">
        <v>1.3</v>
      </c>
      <c r="N39" s="19">
        <v>250</v>
      </c>
      <c r="O39" s="19">
        <v>441</v>
      </c>
      <c r="P39" s="19">
        <f>O39*Reference!$N$42+Reference!$N$43</f>
        <v>19.634050140212551</v>
      </c>
      <c r="Q39" s="132">
        <f>Reference!$L$22</f>
        <v>1743.448114147531</v>
      </c>
      <c r="R39" s="133">
        <f>Reference!$W$22</f>
        <v>4.9660000000000003E-2</v>
      </c>
      <c r="S39" s="133">
        <f>Reference!$P$22</f>
        <v>8.5879367469879498E-3</v>
      </c>
      <c r="T39" s="19">
        <f>J39*Reference!$L$7</f>
        <v>25.009999999999998</v>
      </c>
      <c r="U39" s="19">
        <f t="shared" si="10"/>
        <v>25.009999999999998</v>
      </c>
      <c r="V39" s="19">
        <f>T39*Reference!$L$22/(60*10^3)</f>
        <v>0.72672728891382921</v>
      </c>
      <c r="W39" s="19">
        <f t="shared" si="11"/>
        <v>0.72672728891382921</v>
      </c>
      <c r="X39" s="19">
        <f>K39*Reference!$F$10+Reference!$F$11</f>
        <v>33.570676556049591</v>
      </c>
      <c r="Y39" s="19">
        <f t="shared" si="7"/>
        <v>20.726407276040781</v>
      </c>
      <c r="Z39" s="19">
        <f t="shared" si="8"/>
        <v>1.6197055335710049</v>
      </c>
      <c r="AA39" s="114">
        <f>(Y39/100)*Reference!$L$22*(H39/1000)/(Reference!$W$22)</f>
        <v>11.643957343673549</v>
      </c>
      <c r="AB39" s="114">
        <f>(Y39/100)*Reference!$L$22*(H39/1000)/(Reference!$P$26)</f>
        <v>30.757389451427045</v>
      </c>
      <c r="AC39" s="114">
        <f>(Y39/100)*Reference!$L$22*(H39/1000)/(Reference!$P$22)</f>
        <v>67.331530112821852</v>
      </c>
      <c r="AD39" s="115">
        <f>AA39/Reference!$R$22</f>
        <v>182.70189769148229</v>
      </c>
      <c r="AE39" s="123">
        <f>AB39/(Reference!$R$22)</f>
        <v>482.60511911484099</v>
      </c>
      <c r="AF39" s="123">
        <f>V39/(Reference!$R$22)</f>
        <v>11.402863379680996</v>
      </c>
      <c r="AG39" s="123">
        <f>Reference!$R$22</f>
        <v>6.3731999999999997E-2</v>
      </c>
      <c r="AH39" s="105">
        <f t="shared" si="9"/>
        <v>12.269747619180446</v>
      </c>
      <c r="AI39" s="103"/>
      <c r="AJ39" s="166">
        <v>35</v>
      </c>
      <c r="AK39" s="24">
        <v>8.0009999999999999E-4</v>
      </c>
      <c r="AL39" s="24">
        <v>1.963405014021255E-2</v>
      </c>
      <c r="AM39" s="24">
        <v>1743.448114147531</v>
      </c>
      <c r="AN39" s="24">
        <v>4.9660000000000003E-2</v>
      </c>
      <c r="AO39" s="24">
        <v>8.5879367469879498E-3</v>
      </c>
      <c r="AP39" s="168">
        <v>0.33570676556049589</v>
      </c>
      <c r="AQ39" s="168">
        <v>0.41452814552081563</v>
      </c>
      <c r="AS39" s="134"/>
      <c r="AT39" s="136"/>
      <c r="AU39" s="104"/>
      <c r="AV39" s="104"/>
      <c r="AW39" s="104"/>
      <c r="AX39" s="135"/>
      <c r="BI39" s="19"/>
      <c r="BJ39" s="85"/>
    </row>
    <row r="40" spans="1:67" s="105" customFormat="1" ht="13.8" thickBot="1">
      <c r="A40" s="60" t="s">
        <v>70</v>
      </c>
      <c r="B40" s="15">
        <v>0.40575231481481483</v>
      </c>
      <c r="C40" s="31">
        <v>0.40660879629629632</v>
      </c>
      <c r="D40" s="15">
        <v>0.4060300925925926</v>
      </c>
      <c r="E40" s="27"/>
      <c r="F40" s="39">
        <v>36</v>
      </c>
      <c r="G40" s="61" t="s">
        <v>17</v>
      </c>
      <c r="H40" s="26">
        <v>1.6002000000000001</v>
      </c>
      <c r="I40" s="28">
        <v>101325</v>
      </c>
      <c r="J40" s="19">
        <v>46</v>
      </c>
      <c r="K40" s="19">
        <v>30</v>
      </c>
      <c r="L40" s="19">
        <v>81</v>
      </c>
      <c r="M40" s="19">
        <v>1.24</v>
      </c>
      <c r="N40" s="19">
        <v>250</v>
      </c>
      <c r="O40" s="19">
        <v>458</v>
      </c>
      <c r="P40" s="19">
        <f>O40*Reference!$N$42+Reference!$N$43</f>
        <v>15.794834638192199</v>
      </c>
      <c r="Q40" s="132">
        <f>Reference!$L$22</f>
        <v>1743.448114147531</v>
      </c>
      <c r="R40" s="133">
        <f>Reference!$W$22</f>
        <v>4.9660000000000003E-2</v>
      </c>
      <c r="S40" s="133">
        <f>Reference!$P$22</f>
        <v>8.5879367469879498E-3</v>
      </c>
      <c r="T40" s="19">
        <f>J40*Reference!$L$7</f>
        <v>18.86</v>
      </c>
      <c r="U40" s="19">
        <f t="shared" si="10"/>
        <v>18.86</v>
      </c>
      <c r="V40" s="19">
        <f>T40*Reference!$L$22/(60*10^3)</f>
        <v>0.54802385721370728</v>
      </c>
      <c r="W40" s="19">
        <f t="shared" si="11"/>
        <v>0.54802385721370728</v>
      </c>
      <c r="X40" s="19">
        <f>K40*Reference!$F$10+Reference!$F$11</f>
        <v>22.288091941942461</v>
      </c>
      <c r="Y40" s="19">
        <f t="shared" si="7"/>
        <v>15.629749749145509</v>
      </c>
      <c r="Z40" s="19">
        <f t="shared" si="8"/>
        <v>1.4260044018402132</v>
      </c>
      <c r="AA40" s="114">
        <f>(Y40/100)*Reference!$L$22*(H40/1000)/(Reference!$W$22)</f>
        <v>8.7806891444095605</v>
      </c>
      <c r="AB40" s="114">
        <f>(Y40/100)*Reference!$L$22*(H40/1000)/(Reference!$P$26)</f>
        <v>23.194096963371212</v>
      </c>
      <c r="AC40" s="114">
        <f>(Y40/100)*Reference!$L$22*(H40/1000)/(Reference!$P$22)</f>
        <v>50.774596478521389</v>
      </c>
      <c r="AD40" s="115">
        <f>AA40/Reference!$R$22</f>
        <v>137.77520153783908</v>
      </c>
      <c r="AE40" s="123">
        <f>AB40/(Reference!$R$22)</f>
        <v>363.93172916856861</v>
      </c>
      <c r="AF40" s="123">
        <f>V40/(Reference!$R$22)</f>
        <v>8.5988805813987845</v>
      </c>
      <c r="AG40" s="123">
        <f>Reference!$R$22</f>
        <v>6.3731999999999997E-2</v>
      </c>
      <c r="AH40" s="105">
        <f t="shared" si="9"/>
        <v>9.8705378316411689</v>
      </c>
      <c r="AI40" s="103"/>
      <c r="AJ40" s="166">
        <v>36</v>
      </c>
      <c r="AK40" s="24">
        <v>8.0009999999999999E-4</v>
      </c>
      <c r="AL40" s="24">
        <v>1.5794834638192198E-2</v>
      </c>
      <c r="AM40" s="24">
        <v>1743.448114147531</v>
      </c>
      <c r="AN40" s="24">
        <v>4.9660000000000003E-2</v>
      </c>
      <c r="AO40" s="24">
        <v>8.5879367469879498E-3</v>
      </c>
      <c r="AP40" s="168">
        <v>0.22288091941942462</v>
      </c>
      <c r="AQ40" s="168">
        <v>0.31259499498291016</v>
      </c>
      <c r="AS40" s="134"/>
      <c r="AT40" s="136"/>
      <c r="AU40" s="104"/>
      <c r="AV40" s="104"/>
      <c r="AW40" s="104"/>
      <c r="AX40" s="135"/>
      <c r="BI40" s="19"/>
      <c r="BJ40" s="85"/>
    </row>
    <row r="41" spans="1:67" s="105" customFormat="1" ht="13.8" thickTop="1">
      <c r="A41" s="60" t="s">
        <v>70</v>
      </c>
      <c r="B41" s="15">
        <v>0.40129629629629626</v>
      </c>
      <c r="C41" s="31">
        <v>0.40202546296296293</v>
      </c>
      <c r="D41" s="15">
        <v>0.40146990740740746</v>
      </c>
      <c r="E41" s="27"/>
      <c r="F41" s="35">
        <v>37</v>
      </c>
      <c r="G41" s="61" t="s">
        <v>17</v>
      </c>
      <c r="H41" s="26">
        <v>1.6002000000000001</v>
      </c>
      <c r="I41" s="28">
        <v>101325</v>
      </c>
      <c r="J41" s="19">
        <v>37</v>
      </c>
      <c r="K41" s="19">
        <v>16</v>
      </c>
      <c r="L41" s="19">
        <v>55</v>
      </c>
      <c r="M41" s="19">
        <v>1</v>
      </c>
      <c r="N41" s="19">
        <v>250</v>
      </c>
      <c r="O41" s="19">
        <v>466</v>
      </c>
      <c r="P41" s="19">
        <f>O41*Reference!$N$42+Reference!$N$43</f>
        <v>13.988144990182633</v>
      </c>
      <c r="Q41" s="132">
        <f>Reference!$L$22</f>
        <v>1743.448114147531</v>
      </c>
      <c r="R41" s="133">
        <f>Reference!$W$22</f>
        <v>4.9660000000000003E-2</v>
      </c>
      <c r="S41" s="133">
        <f>Reference!$P$22</f>
        <v>8.5879367469879498E-3</v>
      </c>
      <c r="T41" s="19">
        <f>J41*Reference!$L$7</f>
        <v>15.17</v>
      </c>
      <c r="U41" s="19">
        <f t="shared" si="10"/>
        <v>15.17</v>
      </c>
      <c r="V41" s="19">
        <f>T41*Reference!$L$22/(60*10^3)</f>
        <v>0.44080179819363408</v>
      </c>
      <c r="W41" s="19">
        <f t="shared" si="11"/>
        <v>0.44080179819363408</v>
      </c>
      <c r="X41" s="19">
        <f>K41*Reference!$F$10+Reference!$F$11</f>
        <v>9.1250765588174758</v>
      </c>
      <c r="Y41" s="19">
        <f t="shared" si="7"/>
        <v>12.571755233008343</v>
      </c>
      <c r="Z41" s="19">
        <f t="shared" si="8"/>
        <v>0.7258395020974252</v>
      </c>
      <c r="AA41" s="114">
        <f>(Y41/100)*Reference!$L$22*(H41/1000)/(Reference!$W$22)</f>
        <v>7.0627282248511669</v>
      </c>
      <c r="AB41" s="114">
        <f>(Y41/100)*Reference!$L$22*(H41/1000)/(Reference!$P$26)</f>
        <v>18.656121470537709</v>
      </c>
      <c r="AC41" s="114">
        <f>(Y41/100)*Reference!$L$22*(H41/1000)/(Reference!$P$22)</f>
        <v>40.84043629794111</v>
      </c>
      <c r="AD41" s="115">
        <f>AA41/Reference!$R$22</f>
        <v>110.81918384565316</v>
      </c>
      <c r="AE41" s="123">
        <f>AB41/(Reference!$R$22)</f>
        <v>292.7276952008051</v>
      </c>
      <c r="AF41" s="123">
        <f>V41/(Reference!$R$22)</f>
        <v>6.9164909024294561</v>
      </c>
      <c r="AG41" s="123">
        <f>Reference!$R$22</f>
        <v>6.3731999999999997E-2</v>
      </c>
      <c r="AH41" s="105">
        <f t="shared" si="9"/>
        <v>8.7414979316226926</v>
      </c>
      <c r="AI41" s="103"/>
      <c r="AJ41" s="166">
        <v>37</v>
      </c>
      <c r="AK41" s="24">
        <v>8.0009999999999999E-4</v>
      </c>
      <c r="AL41" s="24">
        <v>1.3988144990182633E-2</v>
      </c>
      <c r="AM41" s="24">
        <v>1743.448114147531</v>
      </c>
      <c r="AN41" s="24">
        <v>4.9660000000000003E-2</v>
      </c>
      <c r="AO41" s="24">
        <v>8.5879367469879498E-3</v>
      </c>
      <c r="AP41" s="168">
        <v>9.1250765588174756E-2</v>
      </c>
      <c r="AQ41" s="168">
        <v>0.25143510466016683</v>
      </c>
      <c r="AS41" s="134"/>
      <c r="AT41" s="136"/>
      <c r="AU41" s="104"/>
      <c r="AV41" s="104"/>
      <c r="AW41" s="104"/>
      <c r="AX41" s="135"/>
      <c r="BI41" s="19"/>
      <c r="BJ41" s="85"/>
    </row>
    <row r="42" spans="1:67" ht="13.8" thickBot="1">
      <c r="A42" s="81">
        <v>174</v>
      </c>
      <c r="B42" s="74">
        <v>0.44820601851851855</v>
      </c>
      <c r="C42" s="75">
        <v>0.44905092592592594</v>
      </c>
      <c r="D42" s="82">
        <v>0.44883101851851853</v>
      </c>
      <c r="F42" s="39">
        <v>38</v>
      </c>
      <c r="G42" s="83" t="s">
        <v>17</v>
      </c>
      <c r="H42" s="84">
        <v>1.6002000000000001</v>
      </c>
      <c r="I42" s="28">
        <v>101325</v>
      </c>
      <c r="J42" s="85">
        <v>48</v>
      </c>
      <c r="K42" s="85">
        <v>28</v>
      </c>
      <c r="L42" s="85">
        <v>72</v>
      </c>
      <c r="M42" s="85">
        <v>1.44</v>
      </c>
      <c r="N42" s="85">
        <v>250</v>
      </c>
      <c r="O42" s="85">
        <v>452</v>
      </c>
      <c r="P42" s="19">
        <f>O42*Reference!$F$78+Reference!$F$79</f>
        <v>15.486779909668897</v>
      </c>
      <c r="Q42" s="132">
        <f>Reference!$L$22</f>
        <v>1743.448114147531</v>
      </c>
      <c r="R42" s="133">
        <f>Reference!$W$22</f>
        <v>4.9660000000000003E-2</v>
      </c>
      <c r="S42" s="133">
        <f>Reference!$P$22</f>
        <v>8.5879367469879498E-3</v>
      </c>
      <c r="T42" s="19">
        <f>J42*Reference!$L$7</f>
        <v>19.68</v>
      </c>
      <c r="U42" s="19">
        <f t="shared" si="10"/>
        <v>19.68</v>
      </c>
      <c r="V42" s="19">
        <f>T42*Reference!$L$22/(60*10^3)</f>
        <v>0.57185098144039015</v>
      </c>
      <c r="W42" s="19">
        <f t="shared" si="11"/>
        <v>0.57185098144039015</v>
      </c>
      <c r="X42" s="19">
        <f>K42*Reference!$F$10+Reference!$F$11</f>
        <v>20.407661172924605</v>
      </c>
      <c r="Y42" s="19">
        <f t="shared" si="7"/>
        <v>16.309304086064877</v>
      </c>
      <c r="Z42" s="19">
        <f t="shared" si="8"/>
        <v>1.2512895133497131</v>
      </c>
      <c r="AA42" s="114">
        <f>(Y42/100)*Reference!$L$22*(H42/1000)/(Reference!$W$22)</f>
        <v>9.1624582376447581</v>
      </c>
      <c r="AB42" s="114">
        <f>(Y42/100)*Reference!$L$22*(H42/1000)/(Reference!$P$26)</f>
        <v>24.202535961778654</v>
      </c>
      <c r="AC42" s="114">
        <f>(Y42/100)*Reference!$L$22*(H42/1000)/(Reference!$P$22)</f>
        <v>52.982187629761448</v>
      </c>
      <c r="AD42" s="115">
        <f>AA42/Reference!$R$22</f>
        <v>143.76542769165818</v>
      </c>
      <c r="AE42" s="123">
        <f>AB42/(Reference!$R$22)</f>
        <v>379.75484782807155</v>
      </c>
      <c r="AF42" s="123">
        <f>V42/(Reference!$R$22)</f>
        <v>8.972744954503078</v>
      </c>
      <c r="AG42" s="123">
        <f>Reference!$R$22</f>
        <v>6.3731999999999997E-2</v>
      </c>
      <c r="AH42" s="105">
        <f t="shared" si="9"/>
        <v>9.6780276900817999</v>
      </c>
      <c r="AI42" s="103"/>
      <c r="AJ42" s="166">
        <v>38</v>
      </c>
      <c r="AK42" s="24">
        <v>8.0009999999999999E-4</v>
      </c>
      <c r="AL42" s="24">
        <v>1.5486779909668897E-2</v>
      </c>
      <c r="AM42" s="24">
        <v>1743.448114147531</v>
      </c>
      <c r="AN42" s="24">
        <v>4.9660000000000003E-2</v>
      </c>
      <c r="AO42" s="24">
        <v>8.5879367469879498E-3</v>
      </c>
      <c r="AP42" s="168">
        <v>0.20407661172924604</v>
      </c>
      <c r="AQ42" s="168">
        <v>0.32618608172129754</v>
      </c>
      <c r="AR42" s="105"/>
      <c r="AS42" s="134"/>
      <c r="AT42" s="136"/>
      <c r="AU42" s="104"/>
      <c r="AV42" s="104"/>
      <c r="AW42" s="104"/>
      <c r="AX42" s="135"/>
      <c r="AY42" s="105"/>
      <c r="AZ42" s="105"/>
      <c r="BA42" s="105"/>
      <c r="BB42" s="105"/>
      <c r="BC42" s="105"/>
      <c r="BF42" s="105"/>
      <c r="BG42" s="105"/>
      <c r="BI42" s="19"/>
    </row>
    <row r="43" spans="1:67" ht="13.8" thickTop="1">
      <c r="A43" s="81">
        <v>174</v>
      </c>
      <c r="B43" s="74">
        <v>0.45035879629629627</v>
      </c>
      <c r="C43" s="75">
        <v>0.4508449074074074</v>
      </c>
      <c r="D43" s="82">
        <v>0.45069444444444445</v>
      </c>
      <c r="F43" s="35">
        <v>39</v>
      </c>
      <c r="G43" s="83" t="s">
        <v>17</v>
      </c>
      <c r="H43" s="84">
        <v>1.6002000000000001</v>
      </c>
      <c r="I43" s="28">
        <v>101325</v>
      </c>
      <c r="J43" s="85">
        <v>33</v>
      </c>
      <c r="K43" s="85">
        <v>17</v>
      </c>
      <c r="L43" s="85">
        <v>56</v>
      </c>
      <c r="M43" s="85">
        <v>1.1599999999999999</v>
      </c>
      <c r="N43" s="85">
        <v>250</v>
      </c>
      <c r="O43" s="85">
        <v>461</v>
      </c>
      <c r="P43" s="19">
        <f>O43*Reference!$F$78+Reference!$F$79</f>
        <v>13.416820766403589</v>
      </c>
      <c r="Q43" s="132">
        <f>Reference!$L$22</f>
        <v>1743.448114147531</v>
      </c>
      <c r="R43" s="133">
        <f>Reference!$W$22</f>
        <v>4.9660000000000003E-2</v>
      </c>
      <c r="S43" s="133">
        <f>Reference!$P$22</f>
        <v>8.5879367469879498E-3</v>
      </c>
      <c r="T43" s="19">
        <f>J43*Reference!$L$7</f>
        <v>13.53</v>
      </c>
      <c r="U43" s="19">
        <f t="shared" si="10"/>
        <v>13.53</v>
      </c>
      <c r="V43" s="19">
        <f>T43*Reference!$L$22/(60*10^3)</f>
        <v>0.39314754974026822</v>
      </c>
      <c r="W43" s="19">
        <f t="shared" si="11"/>
        <v>0.39314754974026822</v>
      </c>
      <c r="X43" s="19">
        <f>K43*Reference!$F$10+Reference!$F$11</f>
        <v>10.065291943326404</v>
      </c>
      <c r="Y43" s="19">
        <f t="shared" si="7"/>
        <v>11.212646559169603</v>
      </c>
      <c r="Z43" s="19">
        <f t="shared" si="8"/>
        <v>0.89767316665262209</v>
      </c>
      <c r="AA43" s="114">
        <f>(Y43/100)*Reference!$L$22*(H43/1000)/(Reference!$W$22)</f>
        <v>6.2991900383807709</v>
      </c>
      <c r="AB43" s="114">
        <f>(Y43/100)*Reference!$L$22*(H43/1000)/(Reference!$P$26)</f>
        <v>16.639243473722821</v>
      </c>
      <c r="AC43" s="114">
        <f>(Y43/100)*Reference!$L$22*(H43/1000)/(Reference!$P$22)</f>
        <v>36.425253995460992</v>
      </c>
      <c r="AD43" s="115">
        <f>AA43/Reference!$R$22</f>
        <v>98.838731538014983</v>
      </c>
      <c r="AE43" s="123">
        <f>AB43/(Reference!$R$22)</f>
        <v>261.08145788179911</v>
      </c>
      <c r="AF43" s="123">
        <f>V43/(Reference!$R$22)</f>
        <v>6.1687621562208665</v>
      </c>
      <c r="AG43" s="123">
        <f>Reference!$R$22</f>
        <v>6.3731999999999997E-2</v>
      </c>
      <c r="AH43" s="105">
        <f t="shared" si="9"/>
        <v>8.3844649208871314</v>
      </c>
      <c r="AI43" s="103"/>
      <c r="AJ43" s="166">
        <v>39</v>
      </c>
      <c r="AK43" s="24">
        <v>8.0009999999999999E-4</v>
      </c>
      <c r="AL43" s="24">
        <v>1.3416820766403589E-2</v>
      </c>
      <c r="AM43" s="24">
        <v>1743.448114147531</v>
      </c>
      <c r="AN43" s="24">
        <v>4.9660000000000003E-2</v>
      </c>
      <c r="AO43" s="24">
        <v>8.5879367469879498E-3</v>
      </c>
      <c r="AP43" s="168">
        <v>0.10065291943326404</v>
      </c>
      <c r="AQ43" s="168">
        <v>0.22425293118339204</v>
      </c>
      <c r="AR43" s="105"/>
      <c r="AS43" s="134"/>
      <c r="AT43" s="136"/>
      <c r="AU43" s="104"/>
      <c r="AV43" s="104"/>
      <c r="AW43" s="104"/>
      <c r="AX43" s="135"/>
      <c r="AY43" s="105"/>
      <c r="AZ43" s="105"/>
      <c r="BA43" s="105"/>
      <c r="BB43" s="105"/>
      <c r="BC43" s="105"/>
      <c r="BF43" s="105"/>
      <c r="BG43" s="105"/>
      <c r="BI43" s="19"/>
    </row>
    <row r="44" spans="1:67" ht="13.8" thickBot="1">
      <c r="A44" s="81">
        <v>174</v>
      </c>
      <c r="B44" s="74">
        <v>0.46160879629629631</v>
      </c>
      <c r="C44" s="75">
        <v>0.42037037037037034</v>
      </c>
      <c r="D44" s="74">
        <v>0.46225694444444443</v>
      </c>
      <c r="F44" s="39">
        <v>40</v>
      </c>
      <c r="G44" s="83" t="s">
        <v>17</v>
      </c>
      <c r="H44" s="84">
        <v>1.6002000000000001</v>
      </c>
      <c r="I44" s="28">
        <v>101325</v>
      </c>
      <c r="J44" s="14">
        <v>60</v>
      </c>
      <c r="K44" s="14">
        <v>38</v>
      </c>
      <c r="L44" s="14">
        <v>88</v>
      </c>
      <c r="M44" s="14">
        <v>1.5</v>
      </c>
      <c r="N44" s="14">
        <v>250</v>
      </c>
      <c r="O44" s="85">
        <v>443</v>
      </c>
      <c r="P44" s="19">
        <f>O44*Reference!$F$78+Reference!$F$79</f>
        <v>17.556739052934205</v>
      </c>
      <c r="Q44" s="132">
        <f>Reference!$L$22</f>
        <v>1743.448114147531</v>
      </c>
      <c r="R44" s="133">
        <f>Reference!$W$22</f>
        <v>4.9660000000000003E-2</v>
      </c>
      <c r="S44" s="133">
        <f>Reference!$P$22</f>
        <v>8.5879367469879498E-3</v>
      </c>
      <c r="T44" s="19">
        <f>J44*Reference!$L$7</f>
        <v>24.599999999999998</v>
      </c>
      <c r="U44" s="19">
        <f t="shared" si="10"/>
        <v>24.599999999999998</v>
      </c>
      <c r="V44" s="19">
        <f>T44*Reference!$L$22/(60*10^3)</f>
        <v>0.7148137268004876</v>
      </c>
      <c r="W44" s="19">
        <f t="shared" si="11"/>
        <v>0.7148137268004876</v>
      </c>
      <c r="X44" s="19">
        <f>K44*Reference!$F$10+Reference!$F$11</f>
        <v>29.809815018013886</v>
      </c>
      <c r="Y44" s="19">
        <f t="shared" si="7"/>
        <v>20.386630107581095</v>
      </c>
      <c r="Z44" s="19">
        <f t="shared" si="8"/>
        <v>1.4622237643350693</v>
      </c>
      <c r="AA44" s="114">
        <f>(Y44/100)*Reference!$L$22*(H44/1000)/(Reference!$W$22)</f>
        <v>11.453072797055945</v>
      </c>
      <c r="AB44" s="114">
        <f>(Y44/100)*Reference!$L$22*(H44/1000)/(Reference!$P$26)</f>
        <v>30.253169952223313</v>
      </c>
      <c r="AC44" s="114">
        <f>(Y44/100)*Reference!$L$22*(H44/1000)/(Reference!$P$22)</f>
        <v>66.227734537201798</v>
      </c>
      <c r="AD44" s="115">
        <f>AA44/Reference!$R$22</f>
        <v>179.70678461457268</v>
      </c>
      <c r="AE44" s="123">
        <f>AB44/(Reference!$R$22)</f>
        <v>474.69355978508935</v>
      </c>
      <c r="AF44" s="123">
        <f>V44/(Reference!$R$22)</f>
        <v>11.215931193128846</v>
      </c>
      <c r="AG44" s="123">
        <f>Reference!$R$22</f>
        <v>6.3731999999999997E-2</v>
      </c>
      <c r="AH44" s="105">
        <f t="shared" si="9"/>
        <v>10.971590459276468</v>
      </c>
      <c r="AI44" s="103"/>
      <c r="AJ44" s="166">
        <v>40</v>
      </c>
      <c r="AK44" s="24">
        <v>8.0009999999999999E-4</v>
      </c>
      <c r="AL44" s="24">
        <v>1.7556739052934204E-2</v>
      </c>
      <c r="AM44" s="24">
        <v>1743.448114147531</v>
      </c>
      <c r="AN44" s="24">
        <v>4.9660000000000003E-2</v>
      </c>
      <c r="AO44" s="24">
        <v>8.5879367469879498E-3</v>
      </c>
      <c r="AP44" s="168">
        <v>0.29809815018013885</v>
      </c>
      <c r="AQ44" s="168">
        <v>0.40773260215162188</v>
      </c>
      <c r="AR44" s="105"/>
      <c r="AS44" s="134"/>
      <c r="AT44" s="136"/>
      <c r="AU44" s="104"/>
      <c r="AV44" s="104"/>
      <c r="AW44" s="104"/>
      <c r="AX44" s="135"/>
      <c r="AY44" s="105"/>
      <c r="AZ44" s="105"/>
      <c r="BA44" s="105"/>
      <c r="BB44" s="105"/>
      <c r="BC44" s="105"/>
      <c r="BF44" s="105"/>
      <c r="BG44" s="105"/>
      <c r="BI44" s="19"/>
      <c r="BJ44" s="105"/>
    </row>
    <row r="45" spans="1:67" ht="13.8" thickTop="1">
      <c r="A45" s="81">
        <v>174</v>
      </c>
      <c r="B45" s="74">
        <v>0.46755787037037039</v>
      </c>
      <c r="C45" s="75">
        <v>0.46883101851851849</v>
      </c>
      <c r="D45" s="82">
        <v>0.46813657407407411</v>
      </c>
      <c r="F45" s="35">
        <v>41</v>
      </c>
      <c r="G45" s="83" t="s">
        <v>17</v>
      </c>
      <c r="H45" s="84">
        <v>1.6002000000000001</v>
      </c>
      <c r="I45" s="28">
        <v>101325</v>
      </c>
      <c r="J45" s="85">
        <v>98</v>
      </c>
      <c r="K45" s="85">
        <v>67</v>
      </c>
      <c r="L45" s="85">
        <v>139</v>
      </c>
      <c r="M45" s="85">
        <v>2.4</v>
      </c>
      <c r="N45" s="85">
        <v>250</v>
      </c>
      <c r="O45" s="85">
        <v>404</v>
      </c>
      <c r="P45" s="19">
        <f>O45*Reference!$F$78+Reference!$F$79</f>
        <v>26.526562007083882</v>
      </c>
      <c r="Q45" s="132">
        <f>Reference!$L$22</f>
        <v>1743.448114147531</v>
      </c>
      <c r="R45" s="133">
        <f>Reference!$W$22</f>
        <v>4.9660000000000003E-2</v>
      </c>
      <c r="S45" s="133">
        <f>Reference!$P$22</f>
        <v>8.5879367469879498E-3</v>
      </c>
      <c r="T45" s="19">
        <f>J45*Reference!$L$7</f>
        <v>40.18</v>
      </c>
      <c r="U45" s="19">
        <f t="shared" si="10"/>
        <v>40.18</v>
      </c>
      <c r="V45" s="19">
        <f>T45*Reference!$L$22/(60*10^3)</f>
        <v>1.1675290871074633</v>
      </c>
      <c r="W45" s="19">
        <f t="shared" si="11"/>
        <v>1.1675290871074633</v>
      </c>
      <c r="X45" s="19">
        <f>K45*Reference!$F$10+Reference!$F$11</f>
        <v>57.076061168772782</v>
      </c>
      <c r="Y45" s="19">
        <f t="shared" si="7"/>
        <v>33.298162509049128</v>
      </c>
      <c r="Z45" s="19">
        <f t="shared" si="8"/>
        <v>1.7140904142461844</v>
      </c>
      <c r="AA45" s="114">
        <f>(Y45/100)*Reference!$L$22*(H45/1000)/(Reference!$W$22)</f>
        <v>18.706685568524716</v>
      </c>
      <c r="AB45" s="114">
        <f>(Y45/100)*Reference!$L$22*(H45/1000)/(Reference!$P$26)</f>
        <v>49.413510921964757</v>
      </c>
      <c r="AC45" s="114">
        <f>(Y45/100)*Reference!$L$22*(H45/1000)/(Reference!$P$22)</f>
        <v>108.17196641076296</v>
      </c>
      <c r="AD45" s="115">
        <f>AA45/Reference!$R$22</f>
        <v>293.52108153713544</v>
      </c>
      <c r="AE45" s="123">
        <f>AB45/(Reference!$R$22)</f>
        <v>775.33281431564615</v>
      </c>
      <c r="AF45" s="123">
        <f>V45/(Reference!$R$22)</f>
        <v>18.319354282110453</v>
      </c>
      <c r="AG45" s="123">
        <f>Reference!$R$22</f>
        <v>6.3731999999999997E-2</v>
      </c>
      <c r="AH45" s="105">
        <f t="shared" si="9"/>
        <v>16.577029125786702</v>
      </c>
      <c r="AI45" s="103"/>
      <c r="AJ45" s="166">
        <v>41</v>
      </c>
      <c r="AK45" s="24">
        <v>8.0009999999999999E-4</v>
      </c>
      <c r="AL45" s="24">
        <v>2.6526562007083882E-2</v>
      </c>
      <c r="AM45" s="24">
        <v>1743.448114147531</v>
      </c>
      <c r="AN45" s="24">
        <v>4.9660000000000003E-2</v>
      </c>
      <c r="AO45" s="24">
        <v>8.5879367469879498E-3</v>
      </c>
      <c r="AP45" s="168">
        <v>0.57076061168772785</v>
      </c>
      <c r="AQ45" s="168">
        <v>0.66596325018098257</v>
      </c>
      <c r="AR45" s="105"/>
      <c r="AS45" s="134"/>
      <c r="AT45" s="136"/>
      <c r="AU45" s="104"/>
      <c r="AV45" s="104"/>
      <c r="AW45" s="104"/>
      <c r="AX45" s="135"/>
      <c r="AY45" s="105"/>
      <c r="AZ45" s="105"/>
      <c r="BA45" s="105"/>
      <c r="BB45" s="105"/>
      <c r="BC45" s="105"/>
      <c r="BF45" s="105"/>
      <c r="BG45" s="105"/>
      <c r="BI45" s="19"/>
      <c r="BJ45" s="105"/>
    </row>
    <row r="46" spans="1:67" ht="13.8" thickBot="1">
      <c r="A46" s="81">
        <v>174</v>
      </c>
      <c r="B46" s="74">
        <v>0.4727662037037037</v>
      </c>
      <c r="C46" s="75">
        <v>0.47421296296296295</v>
      </c>
      <c r="D46" s="82">
        <v>0.47401620370370368</v>
      </c>
      <c r="F46" s="39">
        <v>42</v>
      </c>
      <c r="G46" s="83" t="s">
        <v>17</v>
      </c>
      <c r="H46" s="84">
        <v>1.6002000000000001</v>
      </c>
      <c r="I46" s="28">
        <v>101325</v>
      </c>
      <c r="J46" s="85">
        <v>81</v>
      </c>
      <c r="K46" s="85">
        <v>56</v>
      </c>
      <c r="L46" s="85">
        <v>118</v>
      </c>
      <c r="M46" s="85">
        <v>2.02</v>
      </c>
      <c r="N46" s="85">
        <v>250</v>
      </c>
      <c r="O46" s="85">
        <v>419</v>
      </c>
      <c r="P46" s="19">
        <f>O46*Reference!$F$78+Reference!$F$79</f>
        <v>23.076630101641697</v>
      </c>
      <c r="Q46" s="132">
        <f>Reference!$L$22</f>
        <v>1743.448114147531</v>
      </c>
      <c r="R46" s="133">
        <f>Reference!$W$22</f>
        <v>4.9660000000000003E-2</v>
      </c>
      <c r="S46" s="133">
        <f>Reference!$P$22</f>
        <v>8.5879367469879498E-3</v>
      </c>
      <c r="T46" s="19">
        <f>J46*Reference!$L$7</f>
        <v>33.21</v>
      </c>
      <c r="U46" s="19">
        <f t="shared" si="10"/>
        <v>33.21</v>
      </c>
      <c r="V46" s="19">
        <f>T46*Reference!$L$22/(60*10^3)</f>
        <v>0.96499853118065837</v>
      </c>
      <c r="W46" s="19">
        <f t="shared" si="11"/>
        <v>0.96499853118065837</v>
      </c>
      <c r="X46" s="19">
        <f>K46*Reference!$F$10+Reference!$F$11</f>
        <v>46.733691939174577</v>
      </c>
      <c r="Y46" s="19">
        <f t="shared" si="7"/>
        <v>27.521950645234483</v>
      </c>
      <c r="Z46" s="19">
        <f t="shared" si="8"/>
        <v>1.698051585862671</v>
      </c>
      <c r="AA46" s="114">
        <f>(Y46/100)*Reference!$L$22*(H46/1000)/(Reference!$W$22)</f>
        <v>15.461648276025532</v>
      </c>
      <c r="AB46" s="114">
        <f>(Y46/100)*Reference!$L$22*(H46/1000)/(Reference!$P$26)</f>
        <v>40.841779435501486</v>
      </c>
      <c r="AC46" s="114">
        <f>(Y46/100)*Reference!$L$22*(H46/1000)/(Reference!$P$22)</f>
        <v>89.407441625222447</v>
      </c>
      <c r="AD46" s="115">
        <f>AA46/Reference!$R$22</f>
        <v>242.6041592296732</v>
      </c>
      <c r="AE46" s="123">
        <f>AB46/(Reference!$R$22)</f>
        <v>640.83630570987089</v>
      </c>
      <c r="AF46" s="123">
        <f>V46/(Reference!$R$22)</f>
        <v>15.141507110723945</v>
      </c>
      <c r="AG46" s="123">
        <f>Reference!$R$22</f>
        <v>6.3731999999999997E-2</v>
      </c>
      <c r="AH46" s="105">
        <f t="shared" si="9"/>
        <v>14.42109117712892</v>
      </c>
      <c r="AI46" s="103"/>
      <c r="AJ46" s="166">
        <v>42</v>
      </c>
      <c r="AK46" s="24">
        <v>8.0009999999999999E-4</v>
      </c>
      <c r="AL46" s="24">
        <v>2.3076630101641696E-2</v>
      </c>
      <c r="AM46" s="24">
        <v>1743.448114147531</v>
      </c>
      <c r="AN46" s="24">
        <v>4.9660000000000003E-2</v>
      </c>
      <c r="AO46" s="24">
        <v>8.5879367469879498E-3</v>
      </c>
      <c r="AP46" s="168">
        <v>0.46733691939174576</v>
      </c>
      <c r="AQ46" s="168">
        <v>0.55043901290468966</v>
      </c>
      <c r="AR46" s="105"/>
      <c r="AS46" s="134"/>
      <c r="AT46" s="136"/>
      <c r="AU46" s="104"/>
      <c r="AV46" s="104"/>
      <c r="AW46" s="104"/>
      <c r="AX46" s="135"/>
      <c r="AY46" s="105"/>
      <c r="AZ46" s="105"/>
      <c r="BA46" s="105"/>
      <c r="BB46" s="105"/>
      <c r="BC46" s="105"/>
      <c r="BF46" s="105"/>
      <c r="BG46" s="105"/>
      <c r="BI46" s="19"/>
      <c r="BJ46" s="105"/>
    </row>
    <row r="47" spans="1:67" ht="14.4" thickTop="1" thickBot="1">
      <c r="A47" s="81">
        <v>174</v>
      </c>
      <c r="B47" s="74">
        <v>0.4753472222222222</v>
      </c>
      <c r="C47" s="75">
        <v>0.47630787037037042</v>
      </c>
      <c r="D47" s="82">
        <v>0.47605324074074074</v>
      </c>
      <c r="F47" s="35">
        <v>43</v>
      </c>
      <c r="G47" s="83" t="s">
        <v>17</v>
      </c>
      <c r="H47" s="84">
        <v>1.6002000000000001</v>
      </c>
      <c r="I47" s="28">
        <v>101325</v>
      </c>
      <c r="J47" s="85">
        <v>64</v>
      </c>
      <c r="K47" s="85">
        <v>49</v>
      </c>
      <c r="L47" s="85">
        <v>90</v>
      </c>
      <c r="M47" s="85">
        <v>1.66</v>
      </c>
      <c r="N47" s="85">
        <v>250</v>
      </c>
      <c r="O47" s="85">
        <v>435</v>
      </c>
      <c r="P47" s="19">
        <f>O47*Reference!$F$78+Reference!$F$79</f>
        <v>19.396702735836712</v>
      </c>
      <c r="Q47" s="132">
        <f>Reference!$L$22</f>
        <v>1743.448114147531</v>
      </c>
      <c r="R47" s="133">
        <f>Reference!$W$22</f>
        <v>4.9660000000000003E-2</v>
      </c>
      <c r="S47" s="133">
        <f>Reference!$P$22</f>
        <v>8.5879367469879498E-3</v>
      </c>
      <c r="T47" s="19">
        <f>J47*Reference!$L$7</f>
        <v>26.24</v>
      </c>
      <c r="U47" s="19">
        <f t="shared" si="10"/>
        <v>26.24</v>
      </c>
      <c r="V47" s="19">
        <f>T47*Reference!$L$22/(60*10^3)</f>
        <v>0.76246797525385346</v>
      </c>
      <c r="W47" s="19">
        <f t="shared" si="11"/>
        <v>0.76246797525385346</v>
      </c>
      <c r="X47" s="19">
        <f>K47*Reference!$F$10+Reference!$F$11</f>
        <v>40.152184247612084</v>
      </c>
      <c r="Y47" s="19">
        <f t="shared" si="7"/>
        <v>21.745738781419835</v>
      </c>
      <c r="Z47" s="19">
        <f t="shared" si="8"/>
        <v>1.8464391875211537</v>
      </c>
      <c r="AA47" s="114">
        <f>(Y47/100)*Reference!$L$22*(H47/1000)/(Reference!$W$22)</f>
        <v>12.216610983526342</v>
      </c>
      <c r="AB47" s="114">
        <f>(Y47/100)*Reference!$L$22*(H47/1000)/(Reference!$P$26)</f>
        <v>32.270047949038201</v>
      </c>
      <c r="AC47" s="114">
        <f>(Y47/100)*Reference!$L$22*(H47/1000)/(Reference!$P$22)</f>
        <v>70.642916839681916</v>
      </c>
      <c r="AD47" s="115">
        <f>AA47/Reference!$R$22</f>
        <v>191.68723692221087</v>
      </c>
      <c r="AE47" s="123">
        <f>AB47/(Reference!$R$22)</f>
        <v>506.33979710409534</v>
      </c>
      <c r="AF47" s="123">
        <f>V47/(Reference!$R$22)</f>
        <v>11.963659939337436</v>
      </c>
      <c r="AG47" s="123">
        <f>Reference!$R$22</f>
        <v>6.3731999999999997E-2</v>
      </c>
      <c r="AH47" s="105">
        <f t="shared" si="9"/>
        <v>12.121424031893957</v>
      </c>
      <c r="AI47" s="103"/>
      <c r="AJ47" s="166">
        <v>43</v>
      </c>
      <c r="AK47" s="24">
        <v>8.0009999999999999E-4</v>
      </c>
      <c r="AL47" s="24">
        <v>1.9396702735836713E-2</v>
      </c>
      <c r="AM47" s="24">
        <v>1743.448114147531</v>
      </c>
      <c r="AN47" s="24">
        <v>4.9660000000000003E-2</v>
      </c>
      <c r="AO47" s="24">
        <v>8.5879367469879498E-3</v>
      </c>
      <c r="AP47" s="168">
        <v>0.40152184247612083</v>
      </c>
      <c r="AQ47" s="168">
        <v>0.4349147756283967</v>
      </c>
      <c r="AR47" s="105"/>
      <c r="AS47" s="134"/>
      <c r="AT47" s="136"/>
      <c r="AU47" s="104"/>
      <c r="AV47" s="104"/>
      <c r="AW47" s="104"/>
      <c r="AX47" s="135"/>
      <c r="AY47" s="105"/>
      <c r="AZ47" s="105"/>
      <c r="BA47" s="105"/>
      <c r="BB47" s="105"/>
      <c r="BC47" s="105"/>
      <c r="BF47" s="105"/>
      <c r="BG47" s="105"/>
      <c r="BI47" s="19"/>
    </row>
    <row r="48" spans="1:67" s="105" customFormat="1" ht="14.4" thickTop="1" thickBot="1">
      <c r="A48" s="62" t="s">
        <v>70</v>
      </c>
      <c r="B48" s="17">
        <v>0.44530092592592596</v>
      </c>
      <c r="C48" s="30">
        <v>0.44604166666666667</v>
      </c>
      <c r="D48" s="17">
        <v>0.44543981481481482</v>
      </c>
      <c r="E48" s="71"/>
      <c r="F48" s="39">
        <v>44</v>
      </c>
      <c r="G48" s="63" t="s">
        <v>17</v>
      </c>
      <c r="H48" s="53">
        <v>0.76200000000000001</v>
      </c>
      <c r="I48" s="42">
        <v>101325</v>
      </c>
      <c r="J48" s="21">
        <v>84</v>
      </c>
      <c r="K48" s="21">
        <v>50</v>
      </c>
      <c r="L48" s="21">
        <v>139</v>
      </c>
      <c r="M48" s="21">
        <v>2.13</v>
      </c>
      <c r="N48" s="21">
        <v>250</v>
      </c>
      <c r="O48" s="21">
        <v>410</v>
      </c>
      <c r="P48" s="19">
        <f>O48*Reference!$N$42+Reference!$N$43</f>
        <v>26.634972526249655</v>
      </c>
      <c r="Q48" s="132">
        <f>Reference!$L$22</f>
        <v>1743.448114147531</v>
      </c>
      <c r="R48" s="133">
        <f>Reference!$W$22</f>
        <v>4.9660000000000003E-2</v>
      </c>
      <c r="S48" s="133">
        <f>Reference!$P$22</f>
        <v>8.5879367469879498E-3</v>
      </c>
      <c r="T48" s="19">
        <f>J48*Reference!$L$7</f>
        <v>34.44</v>
      </c>
      <c r="U48" s="19">
        <f t="shared" si="10"/>
        <v>34.44</v>
      </c>
      <c r="V48" s="19">
        <f>T48*Reference!$L$22/(60*10^3)</f>
        <v>1.0007392175206826</v>
      </c>
      <c r="W48" s="19">
        <f t="shared" si="11"/>
        <v>1.0007392175206826</v>
      </c>
      <c r="X48" s="19">
        <f>K48*Reference!$F$10+Reference!$F$11</f>
        <v>41.092399632121015</v>
      </c>
      <c r="Y48" s="19">
        <f t="shared" si="7"/>
        <v>125.86705428420569</v>
      </c>
      <c r="Z48" s="19">
        <f t="shared" si="8"/>
        <v>0.32647462726294579</v>
      </c>
      <c r="AA48" s="114">
        <f>(Y48/100)*Reference!$L$22*(H48/1000)/(Reference!$W$22)</f>
        <v>33.672034023344487</v>
      </c>
      <c r="AB48" s="114">
        <f>(Y48/100)*Reference!$L$22*(H48/1000)/(Reference!$P$26)</f>
        <v>88.944319659536561</v>
      </c>
      <c r="AC48" s="114">
        <f>(Y48/100)*Reference!$L$22*(H48/1000)/(Reference!$P$22)</f>
        <v>194.70953953937334</v>
      </c>
      <c r="AD48" s="115">
        <f>AA48/Reference!$R$22</f>
        <v>528.33794676684374</v>
      </c>
      <c r="AE48" s="123">
        <f>AB48/(Reference!$R$22)</f>
        <v>1395.599065768163</v>
      </c>
      <c r="AF48" s="123">
        <f>V48/(Reference!$R$22)</f>
        <v>15.702303670380385</v>
      </c>
      <c r="AG48" s="123">
        <f>Reference!$R$22</f>
        <v>6.3731999999999997E-2</v>
      </c>
      <c r="AH48" s="105">
        <f t="shared" si="9"/>
        <v>34.954032186679335</v>
      </c>
      <c r="AI48" s="103"/>
      <c r="AJ48" s="166">
        <v>44</v>
      </c>
      <c r="AK48" s="24">
        <v>3.8099999999999999E-4</v>
      </c>
      <c r="AL48" s="24">
        <v>2.6634972526249655E-2</v>
      </c>
      <c r="AM48" s="24">
        <v>1743.448114147531</v>
      </c>
      <c r="AN48" s="24">
        <v>4.9660000000000003E-2</v>
      </c>
      <c r="AO48" s="24">
        <v>8.5879367469879498E-3</v>
      </c>
      <c r="AP48" s="168">
        <v>0.41092399632121013</v>
      </c>
      <c r="AQ48" s="168">
        <v>2.5173410856841141</v>
      </c>
      <c r="AS48" s="134"/>
      <c r="AT48" s="136"/>
      <c r="AU48" s="104"/>
      <c r="AV48" s="104"/>
      <c r="AW48" s="104"/>
      <c r="AX48" s="135"/>
      <c r="BI48" s="19"/>
      <c r="BJ48" s="85"/>
    </row>
    <row r="49" spans="1:62" s="105" customFormat="1" ht="13.8" thickTop="1">
      <c r="A49" s="60" t="s">
        <v>70</v>
      </c>
      <c r="B49" s="15">
        <v>0.44188657407407406</v>
      </c>
      <c r="C49" s="31">
        <v>0.44276620370370368</v>
      </c>
      <c r="D49" s="15">
        <v>0.44202546296296297</v>
      </c>
      <c r="E49" s="67"/>
      <c r="F49" s="35">
        <v>45</v>
      </c>
      <c r="G49" s="61" t="s">
        <v>17</v>
      </c>
      <c r="H49" s="58">
        <v>0.76200000000000001</v>
      </c>
      <c r="I49" s="28">
        <v>101325</v>
      </c>
      <c r="J49" s="19">
        <v>69</v>
      </c>
      <c r="K49" s="19">
        <v>37</v>
      </c>
      <c r="L49" s="19">
        <v>106</v>
      </c>
      <c r="M49" s="19">
        <v>1.79</v>
      </c>
      <c r="N49" s="19">
        <v>250</v>
      </c>
      <c r="O49" s="19">
        <v>427</v>
      </c>
      <c r="P49" s="19">
        <f>O49*Reference!$N$42+Reference!$N$43</f>
        <v>22.795757024229317</v>
      </c>
      <c r="Q49" s="132">
        <f>Reference!$L$22</f>
        <v>1743.448114147531</v>
      </c>
      <c r="R49" s="133">
        <f>Reference!$W$22</f>
        <v>4.9660000000000003E-2</v>
      </c>
      <c r="S49" s="133">
        <f>Reference!$P$22</f>
        <v>8.5879367469879498E-3</v>
      </c>
      <c r="T49" s="19">
        <f>J49*Reference!$L$7</f>
        <v>28.29</v>
      </c>
      <c r="U49" s="19">
        <f t="shared" si="10"/>
        <v>28.29</v>
      </c>
      <c r="V49" s="19">
        <f>T49*Reference!$L$22/(60*10^3)</f>
        <v>0.8220357858205608</v>
      </c>
      <c r="W49" s="19">
        <f t="shared" si="11"/>
        <v>0.8220357858205608</v>
      </c>
      <c r="X49" s="19">
        <f>K49*Reference!$F$10+Reference!$F$11</f>
        <v>28.869599633504954</v>
      </c>
      <c r="Y49" s="19">
        <f t="shared" si="7"/>
        <v>103.39079459059754</v>
      </c>
      <c r="Z49" s="19">
        <f t="shared" si="8"/>
        <v>0.27922795010737239</v>
      </c>
      <c r="AA49" s="114">
        <f>(Y49/100)*Reference!$L$22*(H49/1000)/(Reference!$W$22)</f>
        <v>27.659170804890117</v>
      </c>
      <c r="AB49" s="114">
        <f>(Y49/100)*Reference!$L$22*(H49/1000)/(Reference!$P$26)</f>
        <v>73.061405434619317</v>
      </c>
      <c r="AC49" s="114">
        <f>(Y49/100)*Reference!$L$22*(H49/1000)/(Reference!$P$22)</f>
        <v>159.93997890734238</v>
      </c>
      <c r="AD49" s="115">
        <f>AA49/Reference!$R$22</f>
        <v>433.99188484419318</v>
      </c>
      <c r="AE49" s="123">
        <f>AB49/(Reference!$R$22)</f>
        <v>1146.384946880991</v>
      </c>
      <c r="AF49" s="123">
        <f>V49/(Reference!$R$22)</f>
        <v>12.898320872098175</v>
      </c>
      <c r="AG49" s="123">
        <f>Reference!$R$22</f>
        <v>6.3731999999999997E-2</v>
      </c>
      <c r="AH49" s="105">
        <f t="shared" si="9"/>
        <v>29.915691632846872</v>
      </c>
      <c r="AI49" s="103"/>
      <c r="AJ49" s="166">
        <v>45</v>
      </c>
      <c r="AK49" s="24">
        <v>3.8099999999999999E-4</v>
      </c>
      <c r="AL49" s="24">
        <v>2.2795757024229316E-2</v>
      </c>
      <c r="AM49" s="24">
        <v>1743.448114147531</v>
      </c>
      <c r="AN49" s="24">
        <v>4.9660000000000003E-2</v>
      </c>
      <c r="AO49" s="24">
        <v>8.5879367469879498E-3</v>
      </c>
      <c r="AP49" s="168">
        <v>0.28869599633504955</v>
      </c>
      <c r="AQ49" s="168">
        <v>2.0678158918119509</v>
      </c>
      <c r="AS49" s="134"/>
      <c r="AT49" s="136"/>
      <c r="AU49" s="104"/>
      <c r="AV49" s="104"/>
      <c r="AW49" s="104"/>
      <c r="AX49" s="135"/>
      <c r="BI49" s="19"/>
      <c r="BJ49" s="85"/>
    </row>
    <row r="50" spans="1:62" s="105" customFormat="1" ht="13.8" thickBot="1">
      <c r="A50" s="60" t="s">
        <v>70</v>
      </c>
      <c r="B50" s="126">
        <v>0.53178240740740745</v>
      </c>
      <c r="C50" s="127">
        <v>0.53216435185185185</v>
      </c>
      <c r="D50" s="15">
        <v>0.53188657407407403</v>
      </c>
      <c r="E50" s="72"/>
      <c r="F50" s="39">
        <v>46</v>
      </c>
      <c r="G50" s="61" t="s">
        <v>17</v>
      </c>
      <c r="H50" s="58">
        <v>0.76200000000000001</v>
      </c>
      <c r="I50" s="28">
        <v>101325</v>
      </c>
      <c r="J50" s="22">
        <v>64</v>
      </c>
      <c r="K50" s="22">
        <v>35</v>
      </c>
      <c r="L50" s="22">
        <v>106</v>
      </c>
      <c r="M50" s="22">
        <v>1.66</v>
      </c>
      <c r="N50" s="22">
        <v>250</v>
      </c>
      <c r="O50" s="22">
        <v>432</v>
      </c>
      <c r="P50" s="19">
        <f>O50*Reference!$N$42+Reference!$N$43</f>
        <v>21.666575994223322</v>
      </c>
      <c r="Q50" s="132">
        <f>Reference!$L$22</f>
        <v>1743.448114147531</v>
      </c>
      <c r="R50" s="133">
        <f>Reference!$W$22</f>
        <v>4.9660000000000003E-2</v>
      </c>
      <c r="S50" s="133">
        <f>Reference!$P$22</f>
        <v>8.5879367469879498E-3</v>
      </c>
      <c r="T50" s="19">
        <f>J50*Reference!$L$7</f>
        <v>26.24</v>
      </c>
      <c r="U50" s="19">
        <f t="shared" si="10"/>
        <v>26.24</v>
      </c>
      <c r="V50" s="19">
        <f>T50*Reference!$L$22/(60*10^3)</f>
        <v>0.76246797525385346</v>
      </c>
      <c r="W50" s="19">
        <f t="shared" si="11"/>
        <v>0.76246797525385346</v>
      </c>
      <c r="X50" s="19">
        <f>K50*Reference!$F$10+Reference!$F$11</f>
        <v>26.989168864487098</v>
      </c>
      <c r="Y50" s="19">
        <f t="shared" si="7"/>
        <v>95.898708026061485</v>
      </c>
      <c r="Z50" s="19">
        <f t="shared" si="8"/>
        <v>0.2814341237751869</v>
      </c>
      <c r="AA50" s="114">
        <f>(Y50/100)*Reference!$L$22*(H50/1000)/(Reference!$W$22)</f>
        <v>25.654883065405325</v>
      </c>
      <c r="AB50" s="114">
        <f>(Y50/100)*Reference!$L$22*(H50/1000)/(Reference!$P$26)</f>
        <v>67.767100692980236</v>
      </c>
      <c r="AC50" s="114">
        <f>(Y50/100)*Reference!$L$22*(H50/1000)/(Reference!$P$22)</f>
        <v>148.35012536333207</v>
      </c>
      <c r="AD50" s="115">
        <f>AA50/Reference!$R$22</f>
        <v>402.54319753664294</v>
      </c>
      <c r="AE50" s="123">
        <f>AB50/(Reference!$R$22)</f>
        <v>1063.3135739186005</v>
      </c>
      <c r="AF50" s="123">
        <f>V50/(Reference!$R$22)</f>
        <v>11.963659939337436</v>
      </c>
      <c r="AG50" s="123">
        <f>Reference!$R$22</f>
        <v>6.3731999999999997E-2</v>
      </c>
      <c r="AH50" s="105">
        <f t="shared" si="9"/>
        <v>28.433826764072602</v>
      </c>
      <c r="AI50" s="103"/>
      <c r="AJ50" s="166">
        <v>46</v>
      </c>
      <c r="AK50" s="24">
        <v>3.8099999999999999E-4</v>
      </c>
      <c r="AL50" s="24">
        <v>2.1666575994223322E-2</v>
      </c>
      <c r="AM50" s="24">
        <v>1743.448114147531</v>
      </c>
      <c r="AN50" s="24">
        <v>4.9660000000000003E-2</v>
      </c>
      <c r="AO50" s="24">
        <v>8.5879367469879498E-3</v>
      </c>
      <c r="AP50" s="168">
        <v>0.26989168864487101</v>
      </c>
      <c r="AQ50" s="168">
        <v>1.9179741605212297</v>
      </c>
      <c r="AS50" s="134"/>
      <c r="AT50" s="136"/>
      <c r="AU50" s="104"/>
      <c r="AV50" s="104"/>
      <c r="AW50" s="104"/>
      <c r="AX50" s="135"/>
      <c r="BI50" s="19"/>
      <c r="BJ50" s="85"/>
    </row>
    <row r="51" spans="1:62" ht="13.8" thickTop="1">
      <c r="A51" s="81">
        <v>174</v>
      </c>
      <c r="B51" s="74">
        <v>0.52361111111111114</v>
      </c>
      <c r="C51" s="75">
        <v>0.52434027777777781</v>
      </c>
      <c r="D51" s="82">
        <v>0.52407407407407403</v>
      </c>
      <c r="F51" s="35">
        <v>47</v>
      </c>
      <c r="G51" s="83" t="s">
        <v>17</v>
      </c>
      <c r="H51" s="58">
        <v>0.76200000000000001</v>
      </c>
      <c r="I51" s="28">
        <v>101325</v>
      </c>
      <c r="J51" s="85">
        <v>62</v>
      </c>
      <c r="K51" s="85">
        <v>32</v>
      </c>
      <c r="L51" s="85">
        <v>81</v>
      </c>
      <c r="M51" s="85">
        <v>1.64</v>
      </c>
      <c r="N51" s="85">
        <v>250</v>
      </c>
      <c r="O51" s="85">
        <v>424</v>
      </c>
      <c r="P51" s="19">
        <f>O51*Reference!$F$78+Reference!$F$79</f>
        <v>21.926652799827636</v>
      </c>
      <c r="Q51" s="132">
        <f>Reference!$L$22</f>
        <v>1743.448114147531</v>
      </c>
      <c r="R51" s="133">
        <f>Reference!$W$22</f>
        <v>4.9660000000000003E-2</v>
      </c>
      <c r="S51" s="133">
        <f>Reference!$P$22</f>
        <v>8.5879367469879498E-3</v>
      </c>
      <c r="T51" s="19">
        <f>J51*Reference!$L$7</f>
        <v>25.419999999999998</v>
      </c>
      <c r="U51" s="19">
        <f t="shared" si="10"/>
        <v>25.419999999999998</v>
      </c>
      <c r="V51" s="19">
        <f>T51*Reference!$L$22/(60*10^3)</f>
        <v>0.73864085102717059</v>
      </c>
      <c r="W51" s="19">
        <f t="shared" si="11"/>
        <v>0.73864085102717059</v>
      </c>
      <c r="X51" s="19">
        <f>K51*Reference!$F$10+Reference!$F$11</f>
        <v>24.168522710960318</v>
      </c>
      <c r="Y51" s="19">
        <f t="shared" si="7"/>
        <v>92.901873400247069</v>
      </c>
      <c r="Z51" s="19">
        <f t="shared" si="8"/>
        <v>0.26015108012769139</v>
      </c>
      <c r="AA51" s="114">
        <f>(Y51/100)*Reference!$L$22*(H51/1000)/(Reference!$W$22)</f>
        <v>24.853167969611413</v>
      </c>
      <c r="AB51" s="114">
        <f>(Y51/100)*Reference!$L$22*(H51/1000)/(Reference!$P$26)</f>
        <v>65.649378796324612</v>
      </c>
      <c r="AC51" s="114">
        <f>(Y51/100)*Reference!$L$22*(H51/1000)/(Reference!$P$22)</f>
        <v>143.71418394572794</v>
      </c>
      <c r="AD51" s="115">
        <f>AA51/Reference!$R$22</f>
        <v>389.96372261362291</v>
      </c>
      <c r="AE51" s="123">
        <f>AB51/(Reference!$R$22)</f>
        <v>1030.0850247336443</v>
      </c>
      <c r="AF51" s="123">
        <f>V51/(Reference!$R$22)</f>
        <v>11.589795566233143</v>
      </c>
      <c r="AG51" s="123">
        <f>Reference!$R$22</f>
        <v>6.3731999999999997E-2</v>
      </c>
      <c r="AH51" s="105">
        <f t="shared" si="9"/>
        <v>28.775134907910282</v>
      </c>
      <c r="AI51" s="103"/>
      <c r="AJ51" s="166">
        <v>47</v>
      </c>
      <c r="AK51" s="24">
        <v>3.8099999999999999E-4</v>
      </c>
      <c r="AL51" s="24">
        <v>2.1926652799827636E-2</v>
      </c>
      <c r="AM51" s="24">
        <v>1743.448114147531</v>
      </c>
      <c r="AN51" s="24">
        <v>4.9660000000000003E-2</v>
      </c>
      <c r="AO51" s="24">
        <v>8.5879367469879498E-3</v>
      </c>
      <c r="AP51" s="168">
        <v>0.24168522710960316</v>
      </c>
      <c r="AQ51" s="168">
        <v>1.8580374680049414</v>
      </c>
      <c r="AR51" s="105"/>
      <c r="AS51" s="134"/>
      <c r="AT51" s="136"/>
      <c r="AU51" s="104"/>
      <c r="AV51" s="104"/>
      <c r="AW51" s="104"/>
      <c r="AX51" s="135"/>
      <c r="AY51" s="105"/>
      <c r="AZ51" s="105"/>
      <c r="BA51" s="105"/>
      <c r="BB51" s="105"/>
      <c r="BC51" s="105"/>
      <c r="BF51" s="105"/>
      <c r="BG51" s="105"/>
      <c r="BI51" s="19"/>
      <c r="BJ51" s="105"/>
    </row>
    <row r="52" spans="1:62" ht="13.8" thickBot="1">
      <c r="A52" s="81">
        <v>174</v>
      </c>
      <c r="B52" s="74">
        <v>0.52513888888888893</v>
      </c>
      <c r="C52" s="75">
        <v>0.52506944444444448</v>
      </c>
      <c r="D52" s="82">
        <v>0.5255671296296297</v>
      </c>
      <c r="F52" s="39">
        <v>48</v>
      </c>
      <c r="G52" s="83" t="s">
        <v>17</v>
      </c>
      <c r="H52" s="58">
        <v>0.76200000000000001</v>
      </c>
      <c r="I52" s="28">
        <v>101325</v>
      </c>
      <c r="J52" s="85">
        <v>44</v>
      </c>
      <c r="K52" s="85">
        <v>20</v>
      </c>
      <c r="L52" s="85">
        <v>64</v>
      </c>
      <c r="M52" s="85">
        <v>1.29</v>
      </c>
      <c r="N52" s="85">
        <v>250</v>
      </c>
      <c r="O52" s="85">
        <v>450</v>
      </c>
      <c r="P52" s="19">
        <f>O52*Reference!$F$78+Reference!$F$79</f>
        <v>15.946770830394527</v>
      </c>
      <c r="Q52" s="132">
        <f>Reference!$L$22</f>
        <v>1743.448114147531</v>
      </c>
      <c r="R52" s="133">
        <f>Reference!$W$22</f>
        <v>4.9660000000000003E-2</v>
      </c>
      <c r="S52" s="133">
        <f>Reference!$P$22</f>
        <v>8.5879367469879498E-3</v>
      </c>
      <c r="T52" s="19">
        <f>J52*Reference!$L$7</f>
        <v>18.04</v>
      </c>
      <c r="U52" s="19">
        <f t="shared" si="10"/>
        <v>18.04</v>
      </c>
      <c r="V52" s="19">
        <f>T52*Reference!$L$22/(60*10^3)</f>
        <v>0.52419673298702429</v>
      </c>
      <c r="W52" s="19">
        <f t="shared" si="11"/>
        <v>0.52419673298702429</v>
      </c>
      <c r="X52" s="19">
        <f>K52*Reference!$F$10+Reference!$F$11</f>
        <v>12.885938096853188</v>
      </c>
      <c r="Y52" s="19">
        <f t="shared" si="7"/>
        <v>65.930361767917276</v>
      </c>
      <c r="Z52" s="19">
        <f t="shared" si="8"/>
        <v>0.1954477080258292</v>
      </c>
      <c r="AA52" s="114">
        <f>(Y52/100)*Reference!$L$22*(H52/1000)/(Reference!$W$22)</f>
        <v>17.637732107466164</v>
      </c>
      <c r="AB52" s="114">
        <f>(Y52/100)*Reference!$L$22*(H52/1000)/(Reference!$P$26)</f>
        <v>46.589881726423926</v>
      </c>
      <c r="AC52" s="114">
        <f>(Y52/100)*Reference!$L$22*(H52/1000)/(Reference!$P$22)</f>
        <v>101.99071118729081</v>
      </c>
      <c r="AD52" s="115">
        <f>AA52/Reference!$R$22</f>
        <v>276.74844830644207</v>
      </c>
      <c r="AE52" s="123">
        <f>AB52/(Reference!$R$22)</f>
        <v>731.02808206903796</v>
      </c>
      <c r="AF52" s="123">
        <f>V52/(Reference!$R$22)</f>
        <v>8.2250162082944875</v>
      </c>
      <c r="AG52" s="123">
        <f>Reference!$R$22</f>
        <v>6.3731999999999997E-2</v>
      </c>
      <c r="AH52" s="105">
        <f t="shared" si="9"/>
        <v>20.927520774795966</v>
      </c>
      <c r="AI52" s="103"/>
      <c r="AJ52" s="166">
        <v>48</v>
      </c>
      <c r="AK52" s="24">
        <v>3.8099999999999999E-4</v>
      </c>
      <c r="AL52" s="24">
        <v>1.5946770830394526E-2</v>
      </c>
      <c r="AM52" s="24">
        <v>1743.448114147531</v>
      </c>
      <c r="AN52" s="24">
        <v>4.9660000000000003E-2</v>
      </c>
      <c r="AO52" s="24">
        <v>8.5879367469879498E-3</v>
      </c>
      <c r="AP52" s="168">
        <v>0.12885938096853189</v>
      </c>
      <c r="AQ52" s="168">
        <v>1.3186072353583456</v>
      </c>
      <c r="AR52" s="105"/>
      <c r="AS52" s="134"/>
      <c r="AT52" s="136"/>
      <c r="AU52" s="104"/>
      <c r="AV52" s="104"/>
      <c r="AW52" s="104"/>
      <c r="AX52" s="135"/>
      <c r="AY52" s="105"/>
      <c r="AZ52" s="105"/>
      <c r="BA52" s="105"/>
      <c r="BB52" s="105"/>
      <c r="BC52" s="105"/>
      <c r="BF52" s="105"/>
      <c r="BG52" s="105"/>
    </row>
    <row r="53" spans="1:62" ht="13.8" thickTop="1">
      <c r="A53" s="81">
        <v>174</v>
      </c>
      <c r="B53" s="74">
        <v>0.52989583333333334</v>
      </c>
      <c r="C53" s="75">
        <v>0.5308680555555555</v>
      </c>
      <c r="D53" s="82">
        <v>0.53068287037037043</v>
      </c>
      <c r="F53" s="35">
        <v>49</v>
      </c>
      <c r="G53" s="83" t="s">
        <v>17</v>
      </c>
      <c r="H53" s="58">
        <v>0.76200000000000001</v>
      </c>
      <c r="I53" s="28">
        <v>101325</v>
      </c>
      <c r="J53" s="85">
        <v>111</v>
      </c>
      <c r="K53" s="85">
        <v>60</v>
      </c>
      <c r="L53" s="85">
        <v>140</v>
      </c>
      <c r="M53" s="85">
        <v>2.9</v>
      </c>
      <c r="N53" s="85">
        <v>250</v>
      </c>
      <c r="O53" s="85">
        <v>381</v>
      </c>
      <c r="P53" s="19">
        <f>O53*Reference!$F$78+Reference!$F$79</f>
        <v>31.816457595428545</v>
      </c>
      <c r="Q53" s="132">
        <f>Reference!$L$22</f>
        <v>1743.448114147531</v>
      </c>
      <c r="R53" s="133">
        <f>Reference!$W$22</f>
        <v>4.9660000000000003E-2</v>
      </c>
      <c r="S53" s="133">
        <f>Reference!$P$22</f>
        <v>8.5879367469879498E-3</v>
      </c>
      <c r="T53" s="19">
        <f>J53*Reference!$L$7</f>
        <v>45.51</v>
      </c>
      <c r="U53" s="19">
        <f t="shared" si="10"/>
        <v>45.51</v>
      </c>
      <c r="V53" s="19">
        <f>T53*Reference!$L$22/(60*10^3)</f>
        <v>1.3224053945809022</v>
      </c>
      <c r="W53" s="19">
        <f t="shared" si="11"/>
        <v>1.3224053945809022</v>
      </c>
      <c r="X53" s="19">
        <f>K53*Reference!$F$10+Reference!$F$11</f>
        <v>50.494553477210289</v>
      </c>
      <c r="Y53" s="19">
        <f t="shared" si="7"/>
        <v>166.32432173270038</v>
      </c>
      <c r="Z53" s="19">
        <f t="shared" si="8"/>
        <v>0.30359091773937924</v>
      </c>
      <c r="AA53" s="114">
        <f>(Y53/100)*Reference!$L$22*(H53/1000)/(Reference!$W$22)</f>
        <v>44.495187816562357</v>
      </c>
      <c r="AB53" s="114">
        <f>(Y53/100)*Reference!$L$22*(H53/1000)/(Reference!$P$26)</f>
        <v>117.53356526438758</v>
      </c>
      <c r="AC53" s="114">
        <f>(Y53/100)*Reference!$L$22*(H53/1000)/(Reference!$P$22)</f>
        <v>257.29474867702902</v>
      </c>
      <c r="AD53" s="115">
        <f>AA53/Reference!$R$22</f>
        <v>698.16085822761499</v>
      </c>
      <c r="AE53" s="123">
        <f>AB53/(Reference!$R$22)</f>
        <v>1844.1844797650722</v>
      </c>
      <c r="AF53" s="123">
        <f>V53/(Reference!$R$22)</f>
        <v>20.749472707288369</v>
      </c>
      <c r="AG53" s="123">
        <f>Reference!$R$22</f>
        <v>6.3731999999999997E-2</v>
      </c>
      <c r="AH53" s="105">
        <f t="shared" si="9"/>
        <v>41.753881358830114</v>
      </c>
      <c r="AI53" s="103"/>
      <c r="AJ53" s="166">
        <v>49</v>
      </c>
      <c r="AK53" s="24">
        <v>3.8099999999999999E-4</v>
      </c>
      <c r="AL53" s="24">
        <v>3.1816457595428546E-2</v>
      </c>
      <c r="AM53" s="24">
        <v>1743.448114147531</v>
      </c>
      <c r="AN53" s="24">
        <v>4.9660000000000003E-2</v>
      </c>
      <c r="AO53" s="24">
        <v>8.5879367469879498E-3</v>
      </c>
      <c r="AP53" s="168">
        <v>0.50494553477210291</v>
      </c>
      <c r="AQ53" s="168">
        <v>3.3264864346540075</v>
      </c>
      <c r="AR53" s="105"/>
      <c r="AS53" s="134"/>
      <c r="AT53" s="136"/>
      <c r="AU53" s="104"/>
      <c r="AV53" s="104"/>
      <c r="AW53" s="104"/>
      <c r="AX53" s="135"/>
      <c r="AY53" s="105"/>
      <c r="AZ53" s="105"/>
      <c r="BA53" s="105"/>
      <c r="BB53" s="105"/>
      <c r="BC53" s="105"/>
      <c r="BF53" s="105"/>
      <c r="BG53" s="105"/>
    </row>
    <row r="54" spans="1:62" ht="13.8" thickBot="1">
      <c r="A54" s="81">
        <v>174</v>
      </c>
      <c r="B54" s="74">
        <v>0.53214120370370377</v>
      </c>
      <c r="C54" s="75">
        <v>0.53344907407407405</v>
      </c>
      <c r="D54" s="82">
        <v>0.53306712962962965</v>
      </c>
      <c r="F54" s="39">
        <v>50</v>
      </c>
      <c r="G54" s="83" t="s">
        <v>17</v>
      </c>
      <c r="H54" s="58">
        <v>0.76200000000000001</v>
      </c>
      <c r="I54" s="28">
        <v>101325</v>
      </c>
      <c r="J54" s="85">
        <v>80</v>
      </c>
      <c r="K54" s="85">
        <v>40</v>
      </c>
      <c r="L54" s="85">
        <v>102</v>
      </c>
      <c r="M54" s="85">
        <v>2.23</v>
      </c>
      <c r="N54" s="85">
        <v>250</v>
      </c>
      <c r="O54" s="85">
        <v>405</v>
      </c>
      <c r="P54" s="19">
        <f>O54*Reference!$F$78+Reference!$F$79</f>
        <v>26.296566546721067</v>
      </c>
      <c r="Q54" s="132">
        <f>Reference!$L$22</f>
        <v>1743.448114147531</v>
      </c>
      <c r="R54" s="133">
        <f>Reference!$W$22</f>
        <v>4.9660000000000003E-2</v>
      </c>
      <c r="S54" s="133">
        <f>Reference!$P$22</f>
        <v>8.5879367469879498E-3</v>
      </c>
      <c r="T54" s="19">
        <f>J54*Reference!$L$7</f>
        <v>32.799999999999997</v>
      </c>
      <c r="U54" s="19">
        <f t="shared" si="10"/>
        <v>32.799999999999997</v>
      </c>
      <c r="V54" s="19">
        <f>T54*Reference!$L$22/(60*10^3)</f>
        <v>0.95308496906731688</v>
      </c>
      <c r="W54" s="19">
        <f t="shared" si="11"/>
        <v>0.95308496906731688</v>
      </c>
      <c r="X54" s="19">
        <f>K54*Reference!$F$10+Reference!$F$11</f>
        <v>31.690245787031742</v>
      </c>
      <c r="Y54" s="19">
        <f t="shared" si="7"/>
        <v>119.87338503257685</v>
      </c>
      <c r="Z54" s="19">
        <f t="shared" si="8"/>
        <v>0.26436431888879741</v>
      </c>
      <c r="AA54" s="114">
        <f>(Y54/100)*Reference!$L$22*(H54/1000)/(Reference!$W$22)</f>
        <v>32.068603831756654</v>
      </c>
      <c r="AB54" s="114">
        <f>(Y54/100)*Reference!$L$22*(H54/1000)/(Reference!$P$26)</f>
        <v>84.708875866225284</v>
      </c>
      <c r="AC54" s="114">
        <f>(Y54/100)*Reference!$L$22*(H54/1000)/(Reference!$P$22)</f>
        <v>185.43765670416505</v>
      </c>
      <c r="AD54" s="115">
        <f>AA54/Reference!$R$22</f>
        <v>503.17899692080363</v>
      </c>
      <c r="AE54" s="123">
        <f>AB54/(Reference!$R$22)</f>
        <v>1329.1419673982502</v>
      </c>
      <c r="AF54" s="123">
        <f>V54/(Reference!$R$22)</f>
        <v>14.954574924171796</v>
      </c>
      <c r="AG54" s="123">
        <f>Reference!$R$22</f>
        <v>6.3731999999999997E-2</v>
      </c>
      <c r="AH54" s="105">
        <f t="shared" si="9"/>
        <v>34.509929851339983</v>
      </c>
      <c r="AI54" s="103"/>
      <c r="AJ54" s="166">
        <v>50</v>
      </c>
      <c r="AK54" s="24">
        <v>3.8099999999999999E-4</v>
      </c>
      <c r="AL54" s="24">
        <v>2.6296566546721068E-2</v>
      </c>
      <c r="AM54" s="24">
        <v>1743.448114147531</v>
      </c>
      <c r="AN54" s="24">
        <v>4.9660000000000003E-2</v>
      </c>
      <c r="AO54" s="24">
        <v>8.5879367469879498E-3</v>
      </c>
      <c r="AP54" s="168">
        <v>0.3169024578703174</v>
      </c>
      <c r="AQ54" s="168">
        <v>2.397467700651537</v>
      </c>
      <c r="AR54" s="105"/>
      <c r="AS54" s="134"/>
      <c r="AT54" s="136"/>
      <c r="AU54" s="104"/>
      <c r="AV54" s="104"/>
      <c r="AW54" s="104"/>
      <c r="AX54" s="135"/>
      <c r="AY54" s="105"/>
      <c r="AZ54" s="105"/>
      <c r="BA54" s="105"/>
      <c r="BB54" s="105"/>
      <c r="BC54" s="105"/>
      <c r="BF54" s="105"/>
      <c r="BG54" s="105"/>
    </row>
    <row r="55" spans="1:62" s="105" customFormat="1" ht="16.649999999999999" customHeight="1" thickTop="1">
      <c r="A55" s="60" t="s">
        <v>70</v>
      </c>
      <c r="B55" s="15">
        <v>0.42594907407407406</v>
      </c>
      <c r="C55" s="31">
        <v>0.42678240740740742</v>
      </c>
      <c r="D55" s="15">
        <v>0.4261226851851852</v>
      </c>
      <c r="E55" s="67"/>
      <c r="F55" s="35">
        <v>51</v>
      </c>
      <c r="G55" s="61" t="s">
        <v>17</v>
      </c>
      <c r="H55" s="58">
        <v>0.76200000000000001</v>
      </c>
      <c r="I55" s="28">
        <v>101325</v>
      </c>
      <c r="J55" s="19">
        <v>41</v>
      </c>
      <c r="K55" s="19">
        <v>14</v>
      </c>
      <c r="L55" s="19">
        <v>56</v>
      </c>
      <c r="M55" s="19">
        <v>1.08</v>
      </c>
      <c r="N55" s="19">
        <v>250</v>
      </c>
      <c r="O55" s="19">
        <v>465</v>
      </c>
      <c r="P55" s="19">
        <f>O55*Reference!$N$42+Reference!$N$43</f>
        <v>14.213981196183823</v>
      </c>
      <c r="Q55" s="132">
        <f>Reference!$L$22</f>
        <v>1743.448114147531</v>
      </c>
      <c r="R55" s="133">
        <f>Reference!$W$22</f>
        <v>4.9660000000000003E-2</v>
      </c>
      <c r="S55" s="133">
        <f>Reference!$P$22</f>
        <v>8.5879367469879498E-3</v>
      </c>
      <c r="T55" s="19">
        <f>J55*Reference!$L$7</f>
        <v>16.809999999999999</v>
      </c>
      <c r="U55" s="19">
        <f t="shared" si="10"/>
        <v>16.809999999999999</v>
      </c>
      <c r="V55" s="19">
        <f>T55*Reference!$L$22/(60*10^3)</f>
        <v>0.48845604664699993</v>
      </c>
      <c r="W55" s="19">
        <f t="shared" si="11"/>
        <v>0.48845604664699993</v>
      </c>
      <c r="X55" s="19">
        <f>K55*Reference!$F$10+Reference!$F$11</f>
        <v>7.2446457897996197</v>
      </c>
      <c r="Y55" s="19">
        <f t="shared" si="7"/>
        <v>61.435109829195639</v>
      </c>
      <c r="Z55" s="19">
        <f t="shared" si="8"/>
        <v>0.11792354257917785</v>
      </c>
      <c r="AA55" s="114">
        <f>(Y55/100)*Reference!$L$22*(H55/1000)/(Reference!$W$22)</f>
        <v>16.435159463775285</v>
      </c>
      <c r="AB55" s="114">
        <f>(Y55/100)*Reference!$L$22*(H55/1000)/(Reference!$P$26)</f>
        <v>43.413298881440461</v>
      </c>
      <c r="AC55" s="114">
        <f>(Y55/100)*Reference!$L$22*(H55/1000)/(Reference!$P$22)</f>
        <v>95.036799060884604</v>
      </c>
      <c r="AD55" s="115">
        <f>AA55/Reference!$R$22</f>
        <v>257.87923592191186</v>
      </c>
      <c r="AE55" s="123">
        <f>AB55/(Reference!$R$22)</f>
        <v>681.1852582916033</v>
      </c>
      <c r="AF55" s="123">
        <f>V55/(Reference!$R$22)</f>
        <v>7.6642196486380465</v>
      </c>
      <c r="AG55" s="123">
        <f>Reference!$R$22</f>
        <v>6.3731999999999997E-2</v>
      </c>
      <c r="AH55" s="105">
        <f t="shared" si="9"/>
        <v>18.653518630162498</v>
      </c>
      <c r="AI55" s="103"/>
      <c r="AJ55" s="166">
        <v>51</v>
      </c>
      <c r="AK55" s="24">
        <v>3.8099999999999999E-4</v>
      </c>
      <c r="AL55" s="24">
        <v>1.4213981196183823E-2</v>
      </c>
      <c r="AM55" s="24">
        <v>1743.448114147531</v>
      </c>
      <c r="AN55" s="24">
        <v>4.9660000000000003E-2</v>
      </c>
      <c r="AO55" s="24">
        <v>8.5879367469879498E-3</v>
      </c>
      <c r="AP55" s="168">
        <v>7.2446457897996197E-2</v>
      </c>
      <c r="AQ55" s="168">
        <v>1.2287021965839129</v>
      </c>
      <c r="AS55" s="134"/>
      <c r="AT55" s="136"/>
      <c r="AU55" s="104"/>
      <c r="AV55" s="104"/>
      <c r="AW55" s="104"/>
      <c r="AX55" s="135"/>
    </row>
    <row r="56" spans="1:62" s="105" customFormat="1" ht="13.8" thickBot="1">
      <c r="A56" s="60" t="s">
        <v>70</v>
      </c>
      <c r="B56" s="15">
        <v>0.48055555555555557</v>
      </c>
      <c r="C56" s="31">
        <v>0.48140046296296296</v>
      </c>
      <c r="D56" s="15">
        <v>0.48071759259259261</v>
      </c>
      <c r="E56" s="67"/>
      <c r="F56" s="39">
        <v>52</v>
      </c>
      <c r="G56" s="61" t="s">
        <v>17</v>
      </c>
      <c r="H56" s="64">
        <v>0.40639999999999998</v>
      </c>
      <c r="I56" s="28">
        <v>101325</v>
      </c>
      <c r="J56" s="19">
        <v>136</v>
      </c>
      <c r="K56" s="19">
        <v>35</v>
      </c>
      <c r="L56" s="19">
        <v>106</v>
      </c>
      <c r="M56" s="19">
        <v>4.0999999999999996</v>
      </c>
      <c r="N56" s="19">
        <v>250</v>
      </c>
      <c r="O56" s="19">
        <v>292</v>
      </c>
      <c r="P56" s="19">
        <f>O56*Reference!$N$42+Reference!$N$43</f>
        <v>53.283644834390898</v>
      </c>
      <c r="Q56" s="132">
        <f>Reference!$L$22</f>
        <v>1743.448114147531</v>
      </c>
      <c r="R56" s="133">
        <f>Reference!$W$22</f>
        <v>4.9660000000000003E-2</v>
      </c>
      <c r="S56" s="133">
        <f>Reference!$P$22</f>
        <v>8.5879367469879498E-3</v>
      </c>
      <c r="T56" s="19">
        <f>J56*Reference!$L$7</f>
        <v>55.76</v>
      </c>
      <c r="U56" s="19">
        <f t="shared" si="10"/>
        <v>55.76</v>
      </c>
      <c r="V56" s="19">
        <f>T56*Reference!$L$22/(60*10^3)</f>
        <v>1.6202444474144388</v>
      </c>
      <c r="W56" s="19">
        <f t="shared" si="11"/>
        <v>1.6202444474144388</v>
      </c>
      <c r="X56" s="19">
        <f>K56*Reference!$F$10+Reference!$F$11</f>
        <v>26.989168864487098</v>
      </c>
      <c r="Y56" s="19">
        <f t="shared" si="7"/>
        <v>716.43077773376035</v>
      </c>
      <c r="Z56" s="19">
        <f t="shared" si="8"/>
        <v>3.7671704934090368E-2</v>
      </c>
      <c r="AA56" s="114">
        <f>(Y56/100)*Reference!$L$22*(H56/1000)/(Reference!$W$22)</f>
        <v>102.21867471372437</v>
      </c>
      <c r="AB56" s="114">
        <f>(Y56/100)*Reference!$L$22*(H56/1000)/(Reference!$P$26)</f>
        <v>270.00954182359322</v>
      </c>
      <c r="AC56" s="114">
        <f>(Y56/100)*Reference!$L$22*(H56/1000)/(Reference!$P$22)</f>
        <v>591.08253074452637</v>
      </c>
      <c r="AD56" s="115">
        <f>AA56/Reference!$R$22</f>
        <v>1603.883052685062</v>
      </c>
      <c r="AE56" s="123">
        <f>AB56/(Reference!$R$22)</f>
        <v>4236.6400210819247</v>
      </c>
      <c r="AF56" s="123">
        <f>V56/(Reference!$R$22)</f>
        <v>25.422777371092057</v>
      </c>
      <c r="AG56" s="123">
        <f>Reference!$R$22</f>
        <v>6.3731999999999997E-2</v>
      </c>
      <c r="AH56" s="105">
        <f t="shared" si="9"/>
        <v>131.11133079328471</v>
      </c>
      <c r="AI56" s="103"/>
      <c r="AJ56" s="166">
        <v>52</v>
      </c>
      <c r="AK56" s="24">
        <v>2.0319999999999998E-4</v>
      </c>
      <c r="AL56" s="24">
        <v>5.3283644834390902E-2</v>
      </c>
      <c r="AM56" s="24">
        <v>1743.448114147531</v>
      </c>
      <c r="AN56" s="24">
        <v>4.9660000000000003E-2</v>
      </c>
      <c r="AO56" s="24">
        <v>8.5879367469879498E-3</v>
      </c>
      <c r="AP56" s="168">
        <v>0.26989168864487101</v>
      </c>
      <c r="AQ56" s="168">
        <v>14.328615554675206</v>
      </c>
      <c r="AS56" s="134"/>
      <c r="AT56" s="136"/>
      <c r="AU56" s="104"/>
      <c r="AV56" s="104"/>
      <c r="AW56" s="104"/>
      <c r="AX56" s="135"/>
    </row>
    <row r="57" spans="1:62" s="105" customFormat="1" ht="14.4" thickTop="1" thickBot="1">
      <c r="A57" s="60" t="s">
        <v>70</v>
      </c>
      <c r="B57" s="15">
        <v>0.4762615740740741</v>
      </c>
      <c r="C57" s="31">
        <v>0.47706018518518517</v>
      </c>
      <c r="D57" s="15">
        <v>0.47670138888888891</v>
      </c>
      <c r="E57" s="67"/>
      <c r="F57" s="35">
        <v>53</v>
      </c>
      <c r="G57" s="61" t="s">
        <v>17</v>
      </c>
      <c r="H57" s="64">
        <v>0.40639999999999998</v>
      </c>
      <c r="I57" s="28">
        <v>101325</v>
      </c>
      <c r="J57" s="19">
        <v>113</v>
      </c>
      <c r="K57" s="19">
        <v>22</v>
      </c>
      <c r="L57" s="19">
        <v>81</v>
      </c>
      <c r="M57" s="19">
        <v>3.56</v>
      </c>
      <c r="N57" s="19">
        <v>250</v>
      </c>
      <c r="O57" s="19">
        <v>320</v>
      </c>
      <c r="P57" s="19">
        <f>O57*Reference!$N$42+Reference!$N$43</f>
        <v>46.96023106635738</v>
      </c>
      <c r="Q57" s="132">
        <f>Reference!$L$22</f>
        <v>1743.448114147531</v>
      </c>
      <c r="R57" s="133">
        <f>Reference!$W$22</f>
        <v>4.9660000000000003E-2</v>
      </c>
      <c r="S57" s="133">
        <f>Reference!$P$22</f>
        <v>8.5879367469879498E-3</v>
      </c>
      <c r="T57" s="19">
        <f>J57*Reference!$L$7</f>
        <v>46.33</v>
      </c>
      <c r="U57" s="19">
        <f t="shared" si="10"/>
        <v>46.33</v>
      </c>
      <c r="V57" s="19">
        <f>T57*Reference!$L$22/(60*10^3)</f>
        <v>1.3462325188075852</v>
      </c>
      <c r="W57" s="19">
        <f t="shared" si="11"/>
        <v>1.3462325188075852</v>
      </c>
      <c r="X57" s="19">
        <f>K57*Reference!$F$10+Reference!$F$11</f>
        <v>14.766368865871041</v>
      </c>
      <c r="Y57" s="19">
        <f t="shared" si="7"/>
        <v>595.26969032290378</v>
      </c>
      <c r="Z57" s="19">
        <f t="shared" si="8"/>
        <v>2.4806182988858429E-2</v>
      </c>
      <c r="AA57" s="114">
        <f>(Y57/100)*Reference!$L$22*(H57/1000)/(Reference!$W$22)</f>
        <v>84.931692960668016</v>
      </c>
      <c r="AB57" s="114">
        <f>(Y57/100)*Reference!$L$22*(H57/1000)/(Reference!$P$26)</f>
        <v>224.34616342695608</v>
      </c>
      <c r="AC57" s="114">
        <f>(Y57/100)*Reference!$L$22*(H57/1000)/(Reference!$P$22)</f>
        <v>491.12004392743722</v>
      </c>
      <c r="AD57" s="115">
        <f>AA57/Reference!$R$22</f>
        <v>1332.6381246574408</v>
      </c>
      <c r="AE57" s="123">
        <f>AB57/(Reference!$R$22)</f>
        <v>3520.1494292813045</v>
      </c>
      <c r="AF57" s="123">
        <f>V57/(Reference!$R$22)</f>
        <v>21.123337080392663</v>
      </c>
      <c r="AG57" s="123">
        <f>Reference!$R$22</f>
        <v>6.3731999999999997E-2</v>
      </c>
      <c r="AH57" s="105">
        <f t="shared" si="9"/>
        <v>115.55174967115498</v>
      </c>
      <c r="AI57" s="103"/>
      <c r="AJ57" s="166">
        <v>53</v>
      </c>
      <c r="AK57" s="24">
        <v>2.0319999999999998E-4</v>
      </c>
      <c r="AL57" s="24">
        <v>4.6960231066357383E-2</v>
      </c>
      <c r="AM57" s="24">
        <v>1743.448114147531</v>
      </c>
      <c r="AN57" s="24">
        <v>4.9660000000000003E-2</v>
      </c>
      <c r="AO57" s="24">
        <v>8.5879367469879498E-3</v>
      </c>
      <c r="AP57" s="168">
        <v>0.14766368865871041</v>
      </c>
      <c r="AQ57" s="168">
        <v>11.905393806458076</v>
      </c>
      <c r="AS57" s="134"/>
      <c r="AT57" s="136"/>
      <c r="AU57" s="104"/>
      <c r="AV57" s="104"/>
      <c r="AW57" s="104"/>
      <c r="AX57" s="135"/>
    </row>
    <row r="58" spans="1:62" ht="14.4" thickTop="1" thickBot="1">
      <c r="A58" s="81">
        <v>174</v>
      </c>
      <c r="B58" s="74">
        <v>0.49034722222222221</v>
      </c>
      <c r="C58" s="74">
        <v>0.49184027777777778</v>
      </c>
      <c r="D58" s="82">
        <v>0.49168981481481483</v>
      </c>
      <c r="F58" s="39">
        <v>54</v>
      </c>
      <c r="G58" s="83" t="s">
        <v>17</v>
      </c>
      <c r="H58" s="65">
        <v>0.40639999999999998</v>
      </c>
      <c r="I58" s="28">
        <v>101325</v>
      </c>
      <c r="J58" s="85">
        <v>145</v>
      </c>
      <c r="K58" s="85">
        <v>17</v>
      </c>
      <c r="L58" s="85">
        <v>55</v>
      </c>
      <c r="M58" s="85">
        <v>4.0999999999999996</v>
      </c>
      <c r="N58" s="85">
        <v>250</v>
      </c>
      <c r="O58" s="85">
        <v>262</v>
      </c>
      <c r="P58" s="19">
        <f>O58*Reference!$F$78+Reference!$F$79</f>
        <v>59.185917378603172</v>
      </c>
      <c r="Q58" s="132">
        <f>Reference!$L$22</f>
        <v>1743.448114147531</v>
      </c>
      <c r="R58" s="133">
        <f>Reference!$W$22</f>
        <v>4.9660000000000003E-2</v>
      </c>
      <c r="S58" s="133">
        <f>Reference!$P$22</f>
        <v>8.5879367469879498E-3</v>
      </c>
      <c r="T58" s="19">
        <f>J58*Reference!$L$7</f>
        <v>59.449999999999996</v>
      </c>
      <c r="U58" s="19">
        <f t="shared" si="10"/>
        <v>59.449999999999996</v>
      </c>
      <c r="V58" s="19">
        <f>T58*Reference!$L$22/(60*10^3)</f>
        <v>1.7274665064345118</v>
      </c>
      <c r="W58" s="19">
        <f t="shared" si="11"/>
        <v>1.7274665064345118</v>
      </c>
      <c r="X58" s="19">
        <f>K58*Reference!$F$10+Reference!$F$11</f>
        <v>10.065291943326404</v>
      </c>
      <c r="Y58" s="19">
        <f t="shared" si="7"/>
        <v>763.84163802496505</v>
      </c>
      <c r="Z58" s="19">
        <f t="shared" si="8"/>
        <v>1.317719726480456E-2</v>
      </c>
      <c r="AA58" s="114">
        <f>(Y58/100)*Reference!$L$22*(H58/1000)/(Reference!$W$22)</f>
        <v>108.98314583448553</v>
      </c>
      <c r="AB58" s="114">
        <f>(Y58/100)*Reference!$L$22*(H58/1000)/(Reference!$P$26)</f>
        <v>287.87782032662506</v>
      </c>
      <c r="AC58" s="114">
        <f>(Y58/100)*Reference!$L$22*(H58/1000)/(Reference!$P$22)</f>
        <v>630.19828645556117</v>
      </c>
      <c r="AD58" s="115">
        <f>AA58/Reference!$R$22</f>
        <v>1710.022372348044</v>
      </c>
      <c r="AE58" s="123">
        <f>AB58/(Reference!$R$22)</f>
        <v>4517.0059048299927</v>
      </c>
      <c r="AF58" s="123">
        <f>V58/(Reference!$R$22)</f>
        <v>27.105167050061382</v>
      </c>
      <c r="AG58" s="123">
        <f>Reference!$R$22</f>
        <v>6.3731999999999997E-2</v>
      </c>
      <c r="AH58" s="105">
        <f t="shared" si="9"/>
        <v>145.63463921900387</v>
      </c>
      <c r="AI58" s="103"/>
      <c r="AJ58" s="166">
        <v>54</v>
      </c>
      <c r="AK58" s="24">
        <v>2.0319999999999998E-4</v>
      </c>
      <c r="AL58" s="24">
        <v>5.9185917378603174E-2</v>
      </c>
      <c r="AM58" s="24">
        <v>1743.448114147531</v>
      </c>
      <c r="AN58" s="24">
        <v>4.9660000000000003E-2</v>
      </c>
      <c r="AO58" s="24">
        <v>8.5879367469879498E-3</v>
      </c>
      <c r="AP58" s="168">
        <v>0.10065291943326404</v>
      </c>
      <c r="AQ58" s="168">
        <v>15.276832760499302</v>
      </c>
      <c r="AR58" s="105"/>
      <c r="AS58" s="134"/>
      <c r="AT58" s="136"/>
      <c r="AU58" s="104"/>
      <c r="AV58" s="104"/>
      <c r="AW58" s="104"/>
      <c r="AX58" s="135"/>
      <c r="AY58" s="105"/>
      <c r="AZ58" s="105"/>
      <c r="BA58" s="105"/>
      <c r="BB58" s="105"/>
      <c r="BC58" s="105"/>
      <c r="BF58" s="105"/>
      <c r="BG58" s="105"/>
    </row>
    <row r="59" spans="1:62" s="105" customFormat="1" ht="13.8" thickTop="1">
      <c r="A59" s="60" t="s">
        <v>70</v>
      </c>
      <c r="B59" s="15">
        <v>0.47439814814814812</v>
      </c>
      <c r="C59" s="31">
        <v>0.47515046296296298</v>
      </c>
      <c r="D59" s="15">
        <v>0.47471064814814817</v>
      </c>
      <c r="E59" s="67"/>
      <c r="F59" s="35">
        <v>55</v>
      </c>
      <c r="G59" s="61" t="s">
        <v>17</v>
      </c>
      <c r="H59" s="64">
        <v>0.40639999999999998</v>
      </c>
      <c r="I59" s="28">
        <v>101325</v>
      </c>
      <c r="J59" s="19">
        <v>92</v>
      </c>
      <c r="K59" s="19">
        <v>12</v>
      </c>
      <c r="L59" s="19">
        <v>55</v>
      </c>
      <c r="M59" s="19">
        <v>3.5</v>
      </c>
      <c r="N59" s="19">
        <v>250</v>
      </c>
      <c r="O59" s="19">
        <v>361</v>
      </c>
      <c r="P59" s="19">
        <f>O59*Reference!$N$42+Reference!$N$43</f>
        <v>37.700946620308301</v>
      </c>
      <c r="Q59" s="132">
        <f>Reference!$L$22</f>
        <v>1743.448114147531</v>
      </c>
      <c r="R59" s="133">
        <f>Reference!$W$22</f>
        <v>4.9660000000000003E-2</v>
      </c>
      <c r="S59" s="133">
        <f>Reference!$P$22</f>
        <v>8.5879367469879498E-3</v>
      </c>
      <c r="T59" s="19">
        <f>J59*Reference!$L$7</f>
        <v>37.72</v>
      </c>
      <c r="U59" s="19">
        <f t="shared" si="10"/>
        <v>37.72</v>
      </c>
      <c r="V59" s="19">
        <f>T59*Reference!$L$22/(60*10^3)</f>
        <v>1.0960477144274146</v>
      </c>
      <c r="W59" s="19">
        <f t="shared" si="11"/>
        <v>1.0960477144274146</v>
      </c>
      <c r="X59" s="19">
        <f>K59*Reference!$F$10+Reference!$F$11</f>
        <v>5.3642150207817654</v>
      </c>
      <c r="Y59" s="19">
        <f t="shared" si="7"/>
        <v>484.64434964342615</v>
      </c>
      <c r="Z59" s="19">
        <f t="shared" si="8"/>
        <v>1.1068353576655646E-2</v>
      </c>
      <c r="AA59" s="114">
        <f>(Y59/100)*Reference!$L$22*(H59/1000)/(Reference!$W$22)</f>
        <v>69.14792701222531</v>
      </c>
      <c r="AB59" s="114">
        <f>(Y59/100)*Reference!$L$22*(H59/1000)/(Reference!$P$26)</f>
        <v>182.65351358654834</v>
      </c>
      <c r="AC59" s="114">
        <f>(Y59/100)*Reference!$L$22*(H59/1000)/(Reference!$P$22)</f>
        <v>399.84994726835606</v>
      </c>
      <c r="AD59" s="115">
        <f>AA59/Reference!$R$22</f>
        <v>1084.9797121104832</v>
      </c>
      <c r="AE59" s="123">
        <f>AB59/(Reference!$R$22)</f>
        <v>2865.9623672024782</v>
      </c>
      <c r="AF59" s="123">
        <f>V59/(Reference!$R$22)</f>
        <v>17.197761162797569</v>
      </c>
      <c r="AG59" s="123">
        <f>Reference!$R$22</f>
        <v>6.3731999999999997E-2</v>
      </c>
      <c r="AH59" s="105">
        <f t="shared" si="9"/>
        <v>92.768077313750737</v>
      </c>
      <c r="AI59" s="137"/>
      <c r="AJ59" s="167">
        <v>55</v>
      </c>
      <c r="AK59" s="139">
        <v>2.0319999999999998E-4</v>
      </c>
      <c r="AL59" s="139">
        <v>3.7700946620308304E-2</v>
      </c>
      <c r="AM59" s="139">
        <v>1743.448114147531</v>
      </c>
      <c r="AN59" s="139">
        <v>4.9660000000000003E-2</v>
      </c>
      <c r="AO59" s="139">
        <v>8.5879367469879498E-3</v>
      </c>
      <c r="AP59" s="169">
        <v>5.3642150207817652E-2</v>
      </c>
      <c r="AQ59" s="169">
        <v>9.6928869928685231</v>
      </c>
      <c r="AS59" s="140"/>
      <c r="AT59" s="141"/>
      <c r="AU59" s="138"/>
      <c r="AV59" s="138"/>
      <c r="AW59" s="138"/>
      <c r="AX59" s="135"/>
    </row>
    <row r="60" spans="1:62">
      <c r="A60" s="144"/>
      <c r="B60" s="145"/>
      <c r="C60" s="145"/>
      <c r="D60" s="146"/>
      <c r="E60" s="146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8"/>
      <c r="W60" s="147"/>
      <c r="X60" s="147"/>
      <c r="Y60" s="147"/>
      <c r="Z60" s="147"/>
      <c r="AA60" s="147"/>
      <c r="AB60" s="147"/>
      <c r="AC60" s="147"/>
      <c r="AD60" s="149"/>
      <c r="AE60" s="149"/>
      <c r="AF60" s="149"/>
      <c r="AG60" s="149"/>
      <c r="AH60" s="150"/>
      <c r="AI60" s="24"/>
      <c r="AJ60" s="108"/>
      <c r="AK60" s="24"/>
      <c r="AL60" s="24"/>
      <c r="AM60" s="24"/>
      <c r="AN60" s="24"/>
      <c r="AO60" s="24"/>
      <c r="AP60" s="108"/>
      <c r="AQ60" s="108"/>
      <c r="AS60" s="108"/>
      <c r="AT60" s="108"/>
      <c r="AU60" s="108"/>
      <c r="AV60" s="108"/>
      <c r="AW60" s="147"/>
      <c r="AX60" s="147"/>
      <c r="AY60" s="147"/>
      <c r="AZ60" s="150"/>
      <c r="BA60" s="150"/>
      <c r="BB60" s="147"/>
      <c r="BC60" s="147"/>
      <c r="BF60" s="105"/>
      <c r="BG60" s="105"/>
    </row>
    <row r="61" spans="1:62">
      <c r="A61" s="144"/>
      <c r="B61" s="145"/>
      <c r="C61" s="145"/>
      <c r="D61" s="146"/>
      <c r="E61" s="146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8"/>
      <c r="W61" s="147"/>
      <c r="X61" s="147"/>
      <c r="Y61" s="147"/>
      <c r="Z61" s="147"/>
      <c r="AA61" s="147"/>
      <c r="AB61" s="147"/>
      <c r="AC61" s="147"/>
      <c r="AD61" s="149"/>
      <c r="AE61" s="149"/>
      <c r="AF61" s="149"/>
      <c r="AG61" s="149"/>
      <c r="AH61" s="150"/>
      <c r="AI61" s="24"/>
      <c r="AJ61" s="108"/>
      <c r="AK61" s="24"/>
      <c r="AL61" s="24"/>
      <c r="AM61" s="24"/>
      <c r="AN61" s="24"/>
      <c r="AO61" s="24"/>
      <c r="AP61" s="108"/>
      <c r="AQ61" s="24"/>
      <c r="AS61" s="24"/>
      <c r="AT61" s="24"/>
      <c r="AU61" s="24"/>
      <c r="AV61" s="108"/>
      <c r="AW61" s="147"/>
      <c r="AX61" s="147"/>
      <c r="AY61" s="147"/>
      <c r="AZ61" s="150"/>
      <c r="BA61" s="150"/>
      <c r="BB61" s="147"/>
      <c r="BC61" s="147"/>
      <c r="BF61" s="105"/>
      <c r="BG61" s="105"/>
    </row>
    <row r="62" spans="1:62">
      <c r="A62" s="151"/>
      <c r="B62" s="145"/>
      <c r="C62" s="145"/>
      <c r="D62" s="146"/>
      <c r="E62" s="146"/>
      <c r="F62" s="147"/>
      <c r="G62" s="152"/>
      <c r="H62" s="152"/>
      <c r="I62" s="152"/>
      <c r="J62" s="147"/>
      <c r="K62" s="147"/>
      <c r="L62" s="147"/>
      <c r="M62" s="147"/>
      <c r="N62" s="147"/>
      <c r="O62" s="147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49"/>
      <c r="AB62" s="149"/>
      <c r="AC62" s="149"/>
      <c r="AD62" s="149"/>
      <c r="AE62" s="149"/>
      <c r="AF62" s="149"/>
      <c r="AG62" s="149"/>
      <c r="AH62" s="150"/>
      <c r="AI62" s="24"/>
      <c r="AJ62" s="108"/>
      <c r="AK62" s="24"/>
      <c r="AL62" s="24"/>
      <c r="AM62" s="24"/>
      <c r="AN62" s="24"/>
      <c r="AO62" s="24"/>
      <c r="AP62" s="108"/>
      <c r="AQ62" s="24"/>
      <c r="AS62" s="24"/>
      <c r="AT62" s="24"/>
      <c r="AU62" s="24"/>
      <c r="AV62" s="108"/>
      <c r="AW62" s="147"/>
      <c r="AX62" s="147"/>
      <c r="AY62" s="147"/>
      <c r="AZ62" s="150"/>
      <c r="BA62" s="150"/>
      <c r="BB62" s="147"/>
      <c r="BC62" s="147"/>
      <c r="BF62" s="105"/>
      <c r="BG62" s="105"/>
    </row>
    <row r="63" spans="1:62">
      <c r="A63" s="144"/>
      <c r="B63" s="145"/>
      <c r="C63" s="145"/>
      <c r="D63" s="146"/>
      <c r="E63" s="146"/>
      <c r="F63" s="147"/>
      <c r="G63" s="152"/>
      <c r="H63" s="152"/>
      <c r="I63" s="28"/>
      <c r="J63" s="147"/>
      <c r="K63" s="147"/>
      <c r="L63" s="147"/>
      <c r="M63" s="147"/>
      <c r="N63" s="147"/>
      <c r="O63" s="147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49"/>
      <c r="AB63" s="149"/>
      <c r="AC63" s="149"/>
      <c r="AD63" s="149"/>
      <c r="AE63" s="149"/>
      <c r="AF63" s="149"/>
      <c r="AG63" s="149"/>
      <c r="AH63" s="150"/>
      <c r="AI63" s="24"/>
      <c r="AJ63" s="108"/>
      <c r="AK63" s="24"/>
      <c r="AL63" s="24"/>
      <c r="AM63" s="24"/>
      <c r="AN63" s="24"/>
      <c r="AO63" s="24"/>
      <c r="AP63" s="108"/>
      <c r="AQ63" s="24"/>
      <c r="AS63" s="24"/>
      <c r="AT63" s="24"/>
      <c r="AU63" s="24"/>
      <c r="AV63" s="108"/>
      <c r="AW63" s="147"/>
      <c r="AX63" s="147"/>
      <c r="AY63" s="147"/>
      <c r="AZ63" s="150"/>
      <c r="BA63" s="150"/>
      <c r="BB63" s="147"/>
      <c r="BC63" s="147"/>
      <c r="BF63" s="105"/>
      <c r="BG63" s="105"/>
    </row>
    <row r="64" spans="1:62">
      <c r="A64" s="144"/>
      <c r="B64" s="145"/>
      <c r="C64" s="145"/>
      <c r="D64" s="146"/>
      <c r="E64" s="146"/>
      <c r="F64" s="147"/>
      <c r="G64" s="152"/>
      <c r="H64" s="152"/>
      <c r="I64" s="28"/>
      <c r="J64" s="147"/>
      <c r="K64" s="147"/>
      <c r="L64" s="147"/>
      <c r="M64" s="147"/>
      <c r="N64" s="147"/>
      <c r="O64" s="147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49"/>
      <c r="AB64" s="149"/>
      <c r="AC64" s="149"/>
      <c r="AD64" s="149"/>
      <c r="AE64" s="149"/>
      <c r="AF64" s="149"/>
      <c r="AG64" s="149"/>
      <c r="AH64" s="150"/>
      <c r="AI64" s="24"/>
      <c r="AJ64" s="108"/>
      <c r="AK64" s="24"/>
      <c r="AL64" s="24"/>
      <c r="AM64" s="24"/>
      <c r="AN64" s="24"/>
      <c r="AO64" s="24"/>
      <c r="AP64" s="108"/>
      <c r="AQ64" s="24"/>
      <c r="AS64" s="24"/>
      <c r="AT64" s="24"/>
      <c r="AU64" s="24"/>
      <c r="AV64" s="108"/>
      <c r="AW64" s="147"/>
      <c r="AX64" s="147"/>
      <c r="AY64" s="147"/>
      <c r="AZ64" s="150"/>
      <c r="BA64" s="150"/>
      <c r="BB64" s="147"/>
      <c r="BC64" s="147"/>
      <c r="BF64" s="105"/>
      <c r="BG64" s="105"/>
    </row>
    <row r="65" spans="1:62">
      <c r="A65" s="144"/>
      <c r="B65" s="145"/>
      <c r="C65" s="145"/>
      <c r="D65" s="146"/>
      <c r="E65" s="146"/>
      <c r="F65" s="147"/>
      <c r="G65" s="152"/>
      <c r="H65" s="152"/>
      <c r="I65" s="28"/>
      <c r="J65" s="147"/>
      <c r="K65" s="147"/>
      <c r="L65" s="147"/>
      <c r="M65" s="147"/>
      <c r="N65" s="147"/>
      <c r="O65" s="147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49"/>
      <c r="AB65" s="149"/>
      <c r="AC65" s="149"/>
      <c r="AD65" s="149"/>
      <c r="AE65" s="149"/>
      <c r="AF65" s="149"/>
      <c r="AG65" s="149"/>
      <c r="AH65" s="150"/>
      <c r="AI65" s="24"/>
      <c r="AJ65" s="108"/>
      <c r="AK65" s="24"/>
      <c r="AL65" s="24"/>
      <c r="AM65" s="24"/>
      <c r="AN65" s="24"/>
      <c r="AO65" s="24"/>
      <c r="AP65" s="108"/>
      <c r="AQ65" s="24"/>
      <c r="AS65" s="24"/>
      <c r="AT65" s="24"/>
      <c r="AU65" s="24"/>
      <c r="AV65" s="108"/>
      <c r="AW65" s="147"/>
      <c r="AX65" s="147"/>
      <c r="AY65" s="147"/>
      <c r="AZ65" s="150"/>
      <c r="BA65" s="150"/>
      <c r="BB65" s="147"/>
      <c r="BC65" s="147"/>
      <c r="BF65" s="105"/>
      <c r="BG65" s="105"/>
    </row>
    <row r="66" spans="1:62">
      <c r="A66" s="144"/>
      <c r="B66" s="145"/>
      <c r="C66" s="145"/>
      <c r="D66" s="146"/>
      <c r="E66" s="146"/>
      <c r="F66" s="147"/>
      <c r="G66" s="152"/>
      <c r="H66" s="152"/>
      <c r="I66" s="28"/>
      <c r="J66" s="147"/>
      <c r="K66" s="147"/>
      <c r="L66" s="147"/>
      <c r="M66" s="147"/>
      <c r="N66" s="147"/>
      <c r="O66" s="147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49"/>
      <c r="AB66" s="149"/>
      <c r="AC66" s="149"/>
      <c r="AD66" s="149"/>
      <c r="AE66" s="149"/>
      <c r="AF66" s="149"/>
      <c r="AG66" s="149"/>
      <c r="AH66" s="150"/>
      <c r="AI66" s="24"/>
      <c r="AJ66" s="108"/>
      <c r="AK66" s="24"/>
      <c r="AL66" s="24"/>
      <c r="AM66" s="24"/>
      <c r="AN66" s="24"/>
      <c r="AO66" s="24"/>
      <c r="AP66" s="108"/>
      <c r="AQ66" s="24"/>
      <c r="AS66" s="24"/>
      <c r="AT66" s="24"/>
      <c r="AU66" s="24"/>
      <c r="AV66" s="108"/>
      <c r="AW66" s="147"/>
      <c r="AX66" s="147"/>
      <c r="AY66" s="147"/>
      <c r="AZ66" s="150"/>
      <c r="BA66" s="150"/>
      <c r="BB66" s="147"/>
      <c r="BC66" s="147"/>
      <c r="BF66" s="105"/>
      <c r="BG66" s="105"/>
    </row>
    <row r="67" spans="1:62">
      <c r="A67" s="144"/>
      <c r="B67" s="145"/>
      <c r="C67" s="145"/>
      <c r="D67" s="146"/>
      <c r="E67" s="146"/>
      <c r="F67" s="147"/>
      <c r="G67" s="152"/>
      <c r="H67" s="152"/>
      <c r="I67" s="28"/>
      <c r="J67" s="147"/>
      <c r="K67" s="147"/>
      <c r="L67" s="147"/>
      <c r="M67" s="147"/>
      <c r="N67" s="147"/>
      <c r="O67" s="147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49"/>
      <c r="AB67" s="149"/>
      <c r="AC67" s="149"/>
      <c r="AD67" s="149"/>
      <c r="AE67" s="149"/>
      <c r="AF67" s="149"/>
      <c r="AG67" s="149"/>
      <c r="AH67" s="150"/>
      <c r="AI67" s="24"/>
      <c r="AJ67" s="108"/>
      <c r="AK67" s="24"/>
      <c r="AL67" s="24"/>
      <c r="AM67" s="24"/>
      <c r="AN67" s="24"/>
      <c r="AO67" s="24"/>
      <c r="AP67" s="108"/>
      <c r="AQ67" s="24"/>
      <c r="AS67" s="24"/>
      <c r="AT67" s="24"/>
      <c r="AU67" s="24"/>
      <c r="AV67" s="108"/>
      <c r="AW67" s="147"/>
      <c r="AX67" s="147"/>
      <c r="AY67" s="147"/>
      <c r="AZ67" s="150"/>
      <c r="BA67" s="150"/>
      <c r="BB67" s="147"/>
      <c r="BC67" s="147"/>
      <c r="BF67" s="105"/>
      <c r="BG67" s="105"/>
    </row>
    <row r="68" spans="1:62">
      <c r="A68" s="144"/>
      <c r="B68" s="145"/>
      <c r="C68" s="145"/>
      <c r="D68" s="146"/>
      <c r="E68" s="146"/>
      <c r="F68" s="147"/>
      <c r="G68" s="152"/>
      <c r="H68" s="152"/>
      <c r="I68" s="28"/>
      <c r="J68" s="147"/>
      <c r="K68" s="147"/>
      <c r="L68" s="147"/>
      <c r="M68" s="147"/>
      <c r="N68" s="147"/>
      <c r="O68" s="147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49"/>
      <c r="AB68" s="149"/>
      <c r="AC68" s="149"/>
      <c r="AD68" s="149"/>
      <c r="AE68" s="149"/>
      <c r="AF68" s="149"/>
      <c r="AG68" s="149"/>
      <c r="AH68" s="150"/>
      <c r="AI68" s="24"/>
      <c r="AJ68" s="108"/>
      <c r="AK68" s="24"/>
      <c r="AL68" s="24"/>
      <c r="AM68" s="24"/>
      <c r="AN68" s="24"/>
      <c r="AO68" s="24"/>
      <c r="AP68" s="108"/>
      <c r="AQ68" s="24"/>
      <c r="AS68" s="24"/>
      <c r="AT68" s="24"/>
      <c r="AU68" s="24"/>
      <c r="AV68" s="108"/>
      <c r="AW68" s="147"/>
      <c r="AX68" s="147"/>
      <c r="AY68" s="147"/>
      <c r="AZ68" s="150"/>
      <c r="BA68" s="150"/>
      <c r="BB68" s="147"/>
      <c r="BC68" s="147"/>
      <c r="BF68" s="105"/>
      <c r="BG68" s="105"/>
    </row>
    <row r="69" spans="1:62">
      <c r="A69" s="144"/>
      <c r="B69" s="145"/>
      <c r="C69" s="145"/>
      <c r="D69" s="146"/>
      <c r="E69" s="146"/>
      <c r="F69" s="147"/>
      <c r="G69" s="152"/>
      <c r="H69" s="152"/>
      <c r="I69" s="152"/>
      <c r="J69" s="147"/>
      <c r="K69" s="147"/>
      <c r="L69" s="147"/>
      <c r="M69" s="147"/>
      <c r="N69" s="147"/>
      <c r="O69" s="147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49"/>
      <c r="AB69" s="149"/>
      <c r="AC69" s="149"/>
      <c r="AD69" s="149"/>
      <c r="AE69" s="149"/>
      <c r="AF69" s="149"/>
      <c r="AG69" s="149"/>
      <c r="AH69" s="150"/>
      <c r="AI69" s="24"/>
      <c r="AJ69" s="108"/>
      <c r="AK69" s="24"/>
      <c r="AL69" s="24"/>
      <c r="AM69" s="24"/>
      <c r="AN69" s="24"/>
      <c r="AO69" s="24"/>
      <c r="AP69" s="108"/>
      <c r="AQ69" s="24"/>
      <c r="AS69" s="24"/>
      <c r="AT69" s="24"/>
      <c r="AU69" s="24"/>
      <c r="AV69" s="108"/>
      <c r="AW69" s="147"/>
      <c r="AX69" s="147"/>
      <c r="AY69" s="147"/>
      <c r="AZ69" s="150"/>
      <c r="BA69" s="150"/>
      <c r="BB69" s="147"/>
      <c r="BC69" s="147"/>
      <c r="BF69" s="105"/>
      <c r="BG69" s="105"/>
    </row>
    <row r="70" spans="1:62" s="88" customFormat="1">
      <c r="A70" s="153"/>
      <c r="B70" s="153"/>
      <c r="C70" s="153"/>
      <c r="D70" s="153"/>
      <c r="E70" s="154"/>
      <c r="F70" s="155"/>
      <c r="G70" s="153"/>
      <c r="H70" s="153"/>
      <c r="I70" s="153"/>
      <c r="J70" s="156"/>
      <c r="K70" s="156"/>
      <c r="L70" s="156"/>
      <c r="M70" s="153"/>
      <c r="N70" s="153"/>
      <c r="O70" s="157"/>
      <c r="P70" s="156"/>
      <c r="Q70" s="156"/>
      <c r="R70" s="156"/>
      <c r="S70" s="156"/>
      <c r="T70" s="156"/>
      <c r="U70" s="156"/>
      <c r="V70" s="156"/>
      <c r="W70" s="156"/>
      <c r="X70" s="156"/>
      <c r="Y70" s="158"/>
      <c r="Z70" s="150"/>
      <c r="AA70" s="156"/>
      <c r="AB70" s="156"/>
      <c r="AC70" s="156"/>
      <c r="AD70" s="149"/>
      <c r="AE70" s="149"/>
      <c r="AF70" s="149"/>
      <c r="AG70" s="149"/>
      <c r="AH70" s="150"/>
      <c r="AI70" s="159"/>
      <c r="AJ70" s="160"/>
      <c r="AK70" s="159"/>
      <c r="AL70" s="159"/>
      <c r="AM70" s="159"/>
      <c r="AN70" s="159"/>
      <c r="AO70" s="159"/>
      <c r="AP70" s="160"/>
      <c r="AQ70" s="159"/>
      <c r="AS70" s="159"/>
      <c r="AT70" s="159"/>
      <c r="AU70" s="159"/>
      <c r="AV70" s="160"/>
      <c r="AW70" s="156"/>
      <c r="AX70" s="156"/>
      <c r="AY70" s="156"/>
      <c r="AZ70" s="150"/>
      <c r="BA70" s="150"/>
      <c r="BB70" s="156"/>
      <c r="BC70" s="156"/>
      <c r="BD70" s="90"/>
      <c r="BE70" s="90"/>
      <c r="BF70" s="105"/>
      <c r="BG70" s="105"/>
      <c r="BH70" s="90"/>
      <c r="BI70" s="90"/>
      <c r="BJ70" s="90"/>
    </row>
    <row r="71" spans="1:62">
      <c r="A71" s="144"/>
      <c r="B71" s="145"/>
      <c r="C71" s="145"/>
      <c r="D71" s="146"/>
      <c r="E71" s="146"/>
      <c r="F71" s="144"/>
      <c r="G71" s="145"/>
      <c r="H71" s="145"/>
      <c r="I71" s="147"/>
      <c r="J71" s="147"/>
      <c r="K71" s="147"/>
      <c r="L71" s="147"/>
      <c r="M71" s="147"/>
      <c r="N71" s="147"/>
      <c r="O71" s="150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50"/>
      <c r="AA71" s="147"/>
      <c r="AB71" s="147"/>
      <c r="AC71" s="147"/>
      <c r="AD71" s="149"/>
      <c r="AE71" s="149"/>
      <c r="AF71" s="149"/>
      <c r="AG71" s="149"/>
      <c r="AH71" s="150"/>
      <c r="AI71" s="24"/>
      <c r="AJ71" s="108"/>
      <c r="AK71" s="24"/>
      <c r="AL71" s="24"/>
      <c r="AM71" s="24"/>
      <c r="AN71" s="24"/>
      <c r="AO71" s="24"/>
      <c r="AP71" s="108"/>
      <c r="AQ71" s="24"/>
      <c r="AS71" s="24"/>
      <c r="AT71" s="24"/>
      <c r="AU71" s="24"/>
      <c r="AV71" s="108"/>
      <c r="AW71" s="147"/>
      <c r="AX71" s="147"/>
      <c r="AY71" s="147"/>
      <c r="AZ71" s="150"/>
      <c r="BA71" s="150"/>
      <c r="BB71" s="147"/>
      <c r="BC71" s="147"/>
      <c r="BF71" s="105"/>
      <c r="BG71" s="105"/>
    </row>
    <row r="72" spans="1:62">
      <c r="A72" s="144"/>
      <c r="B72" s="145"/>
      <c r="C72" s="145"/>
      <c r="D72" s="146"/>
      <c r="E72" s="146"/>
      <c r="F72" s="144"/>
      <c r="G72" s="145"/>
      <c r="H72" s="145"/>
      <c r="I72" s="147"/>
      <c r="J72" s="147"/>
      <c r="K72" s="147"/>
      <c r="L72" s="147"/>
      <c r="M72" s="147"/>
      <c r="N72" s="147"/>
      <c r="O72" s="150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50"/>
      <c r="AA72" s="149"/>
      <c r="AB72" s="149"/>
      <c r="AC72" s="149"/>
      <c r="AD72" s="149"/>
      <c r="AE72" s="149"/>
      <c r="AF72" s="149"/>
      <c r="AG72" s="149"/>
      <c r="AH72" s="150"/>
      <c r="AI72" s="24"/>
      <c r="AJ72" s="108"/>
      <c r="AK72" s="24"/>
      <c r="AL72" s="24"/>
      <c r="AM72" s="24"/>
      <c r="AN72" s="24"/>
      <c r="AO72" s="24"/>
      <c r="AP72" s="108"/>
      <c r="AQ72" s="24"/>
      <c r="AS72" s="24"/>
      <c r="AT72" s="24"/>
      <c r="AU72" s="24"/>
      <c r="AV72" s="108"/>
      <c r="AW72" s="147"/>
      <c r="AX72" s="147"/>
      <c r="AY72" s="147"/>
      <c r="AZ72" s="150"/>
      <c r="BA72" s="150"/>
      <c r="BB72" s="147"/>
      <c r="BC72" s="147"/>
      <c r="BF72" s="105"/>
      <c r="BG72" s="105"/>
    </row>
    <row r="73" spans="1:62">
      <c r="A73" s="144"/>
      <c r="B73" s="145"/>
      <c r="C73" s="145"/>
      <c r="D73" s="146"/>
      <c r="E73" s="146"/>
      <c r="F73" s="144"/>
      <c r="G73" s="145"/>
      <c r="H73" s="145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50"/>
      <c r="AA73" s="149"/>
      <c r="AB73" s="149"/>
      <c r="AC73" s="149"/>
      <c r="AD73" s="149"/>
      <c r="AE73" s="149"/>
      <c r="AF73" s="149"/>
      <c r="AG73" s="149"/>
      <c r="AH73" s="150"/>
      <c r="AI73" s="24"/>
      <c r="AJ73" s="108"/>
      <c r="AK73" s="24"/>
      <c r="AL73" s="24"/>
      <c r="AM73" s="24"/>
      <c r="AN73" s="24"/>
      <c r="AO73" s="24"/>
      <c r="AP73" s="108"/>
      <c r="AQ73" s="24"/>
      <c r="AS73" s="24"/>
      <c r="AT73" s="24"/>
      <c r="AU73" s="24"/>
      <c r="AV73" s="108"/>
      <c r="AW73" s="147"/>
      <c r="AX73" s="147"/>
      <c r="AY73" s="147"/>
      <c r="AZ73" s="150"/>
      <c r="BA73" s="150"/>
      <c r="BB73" s="147"/>
      <c r="BC73" s="147"/>
      <c r="BF73" s="105"/>
      <c r="BG73" s="105"/>
    </row>
    <row r="74" spans="1:62">
      <c r="A74" s="144"/>
      <c r="B74" s="145"/>
      <c r="C74" s="145"/>
      <c r="D74" s="146"/>
      <c r="E74" s="146"/>
      <c r="F74" s="144"/>
      <c r="G74" s="145"/>
      <c r="H74" s="145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50"/>
      <c r="AA74" s="149"/>
      <c r="AB74" s="149"/>
      <c r="AC74" s="149"/>
      <c r="AD74" s="149"/>
      <c r="AE74" s="149"/>
      <c r="AF74" s="149"/>
      <c r="AG74" s="149"/>
      <c r="AH74" s="150"/>
      <c r="AI74" s="24"/>
      <c r="AJ74" s="108"/>
      <c r="AK74" s="24"/>
      <c r="AL74" s="24"/>
      <c r="AM74" s="24"/>
      <c r="AN74" s="24"/>
      <c r="AO74" s="24"/>
      <c r="AP74" s="108"/>
      <c r="AQ74" s="24"/>
      <c r="AS74" s="24"/>
      <c r="AT74" s="24"/>
      <c r="AU74" s="24"/>
      <c r="AV74" s="108"/>
      <c r="AW74" s="147"/>
      <c r="AX74" s="147"/>
      <c r="AY74" s="147"/>
      <c r="AZ74" s="150"/>
      <c r="BA74" s="150"/>
      <c r="BB74" s="147"/>
      <c r="BC74" s="147"/>
      <c r="BF74" s="105"/>
      <c r="BG74" s="105"/>
    </row>
    <row r="75" spans="1:62">
      <c r="A75" s="144"/>
      <c r="B75" s="145"/>
      <c r="C75" s="145"/>
      <c r="D75" s="146"/>
      <c r="E75" s="146"/>
      <c r="F75" s="144"/>
      <c r="G75" s="145"/>
      <c r="H75" s="145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50"/>
      <c r="AA75" s="149"/>
      <c r="AB75" s="149"/>
      <c r="AC75" s="149"/>
      <c r="AD75" s="149"/>
      <c r="AE75" s="149"/>
      <c r="AF75" s="149"/>
      <c r="AG75" s="149"/>
      <c r="AH75" s="150"/>
      <c r="AI75" s="24"/>
      <c r="AJ75" s="108"/>
      <c r="AK75" s="24"/>
      <c r="AL75" s="24"/>
      <c r="AM75" s="24"/>
      <c r="AN75" s="24"/>
      <c r="AO75" s="24"/>
      <c r="AP75" s="108"/>
      <c r="AQ75" s="24"/>
      <c r="AS75" s="24"/>
      <c r="AT75" s="24"/>
      <c r="AU75" s="24"/>
      <c r="AV75" s="108"/>
      <c r="AW75" s="147"/>
      <c r="AX75" s="147"/>
      <c r="AY75" s="147"/>
      <c r="AZ75" s="150"/>
      <c r="BA75" s="150"/>
      <c r="BB75" s="147"/>
      <c r="BC75" s="147"/>
      <c r="BF75" s="105"/>
      <c r="BG75" s="105"/>
    </row>
    <row r="76" spans="1:62">
      <c r="A76" s="144"/>
      <c r="B76" s="145"/>
      <c r="C76" s="145"/>
      <c r="D76" s="146"/>
      <c r="E76" s="146"/>
      <c r="F76" s="144"/>
      <c r="G76" s="145"/>
      <c r="H76" s="145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50"/>
      <c r="AA76" s="149"/>
      <c r="AB76" s="149"/>
      <c r="AC76" s="149"/>
      <c r="AD76" s="149"/>
      <c r="AE76" s="149"/>
      <c r="AF76" s="149"/>
      <c r="AG76" s="149"/>
      <c r="AH76" s="150"/>
      <c r="AI76" s="24"/>
      <c r="AJ76" s="108"/>
      <c r="AK76" s="24"/>
      <c r="AL76" s="24"/>
      <c r="AM76" s="24"/>
      <c r="AN76" s="24"/>
      <c r="AO76" s="24"/>
      <c r="AP76" s="108"/>
      <c r="AQ76" s="24"/>
      <c r="AS76" s="24"/>
      <c r="AT76" s="24"/>
      <c r="AU76" s="24"/>
      <c r="AV76" s="108"/>
      <c r="AW76" s="147"/>
      <c r="AX76" s="147"/>
      <c r="AY76" s="147"/>
      <c r="AZ76" s="150"/>
      <c r="BA76" s="150"/>
      <c r="BB76" s="147"/>
      <c r="BC76" s="147"/>
      <c r="BF76" s="105"/>
      <c r="BG76" s="105"/>
    </row>
    <row r="77" spans="1:62">
      <c r="A77" s="144"/>
      <c r="B77" s="145"/>
      <c r="C77" s="145"/>
      <c r="D77" s="146"/>
      <c r="E77" s="146"/>
      <c r="F77" s="144"/>
      <c r="G77" s="145"/>
      <c r="H77" s="145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50"/>
      <c r="AA77" s="149"/>
      <c r="AB77" s="149"/>
      <c r="AC77" s="149"/>
      <c r="AD77" s="149"/>
      <c r="AE77" s="149"/>
      <c r="AF77" s="149"/>
      <c r="AG77" s="149"/>
      <c r="AH77" s="150"/>
      <c r="AI77" s="24"/>
      <c r="AJ77" s="104"/>
      <c r="AK77" s="24"/>
      <c r="AL77" s="24"/>
      <c r="AM77" s="24"/>
      <c r="AN77" s="24"/>
      <c r="AO77" s="24"/>
      <c r="AP77" s="104"/>
      <c r="AQ77" s="24"/>
      <c r="AS77" s="24"/>
      <c r="AT77" s="24"/>
      <c r="AU77" s="24"/>
      <c r="AV77" s="104"/>
      <c r="AW77" s="147"/>
      <c r="AX77" s="147"/>
      <c r="AY77" s="147"/>
      <c r="AZ77" s="150"/>
      <c r="BA77" s="150"/>
      <c r="BB77" s="147"/>
      <c r="BC77" s="147"/>
      <c r="BF77" s="105"/>
      <c r="BG77" s="105"/>
    </row>
    <row r="78" spans="1:62">
      <c r="A78" s="144"/>
      <c r="B78" s="145"/>
      <c r="C78" s="145"/>
      <c r="D78" s="146"/>
      <c r="E78" s="146"/>
      <c r="F78" s="144"/>
      <c r="G78" s="145"/>
      <c r="H78" s="145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50"/>
      <c r="AA78" s="149"/>
      <c r="AB78" s="149"/>
      <c r="AC78" s="149"/>
      <c r="AD78" s="149"/>
      <c r="AE78" s="149"/>
      <c r="AF78" s="149"/>
      <c r="AG78" s="149"/>
      <c r="AH78" s="150"/>
      <c r="AI78" s="24"/>
      <c r="AJ78" s="104"/>
      <c r="AK78" s="24"/>
      <c r="AL78" s="24"/>
      <c r="AM78" s="24"/>
      <c r="AN78" s="24"/>
      <c r="AO78" s="24"/>
      <c r="AP78" s="104"/>
      <c r="AQ78" s="24"/>
      <c r="AS78" s="24"/>
      <c r="AT78" s="24"/>
      <c r="AU78" s="24"/>
      <c r="AV78" s="104"/>
      <c r="AW78" s="147"/>
      <c r="AX78" s="147"/>
      <c r="AY78" s="147"/>
      <c r="AZ78" s="150"/>
      <c r="BA78" s="150"/>
      <c r="BB78" s="147"/>
      <c r="BC78" s="147"/>
      <c r="BF78" s="105"/>
      <c r="BG78" s="105"/>
    </row>
    <row r="79" spans="1:62">
      <c r="A79" s="144"/>
      <c r="B79" s="145"/>
      <c r="C79" s="145"/>
      <c r="D79" s="146"/>
      <c r="E79" s="146"/>
      <c r="F79" s="144"/>
      <c r="G79" s="145"/>
      <c r="H79" s="145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50"/>
      <c r="AA79" s="149"/>
      <c r="AB79" s="149"/>
      <c r="AC79" s="149"/>
      <c r="AD79" s="149"/>
      <c r="AE79" s="149"/>
      <c r="AF79" s="149"/>
      <c r="AG79" s="149"/>
      <c r="AH79" s="150"/>
      <c r="AI79" s="24"/>
      <c r="AJ79" s="104"/>
      <c r="AK79" s="24"/>
      <c r="AL79" s="24"/>
      <c r="AM79" s="24"/>
      <c r="AN79" s="24"/>
      <c r="AO79" s="24"/>
      <c r="AP79" s="104"/>
      <c r="AQ79" s="24"/>
      <c r="AS79" s="24"/>
      <c r="AT79" s="24"/>
      <c r="AU79" s="24"/>
      <c r="AV79" s="104"/>
      <c r="AW79" s="147"/>
      <c r="AX79" s="147"/>
      <c r="AY79" s="147"/>
      <c r="AZ79" s="150"/>
      <c r="BA79" s="150"/>
      <c r="BB79" s="147"/>
      <c r="BC79" s="147"/>
      <c r="BF79" s="105"/>
      <c r="BG79" s="105"/>
    </row>
    <row r="80" spans="1:62">
      <c r="A80" s="144"/>
      <c r="B80" s="145"/>
      <c r="C80" s="145"/>
      <c r="D80" s="146"/>
      <c r="E80" s="146"/>
      <c r="F80" s="144"/>
      <c r="G80" s="145"/>
      <c r="H80" s="145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50"/>
      <c r="AA80" s="149"/>
      <c r="AB80" s="149"/>
      <c r="AC80" s="149"/>
      <c r="AD80" s="149"/>
      <c r="AE80" s="149"/>
      <c r="AF80" s="149"/>
      <c r="AG80" s="149"/>
      <c r="AH80" s="150"/>
      <c r="AI80" s="24"/>
      <c r="AJ80" s="104"/>
      <c r="AK80" s="24"/>
      <c r="AL80" s="24"/>
      <c r="AM80" s="24"/>
      <c r="AN80" s="24"/>
      <c r="AO80" s="24"/>
      <c r="AP80" s="104"/>
      <c r="AQ80" s="24"/>
      <c r="AS80" s="24"/>
      <c r="AT80" s="24"/>
      <c r="AU80" s="24"/>
      <c r="AV80" s="104"/>
      <c r="AW80" s="147"/>
      <c r="AX80" s="147"/>
      <c r="AY80" s="147"/>
      <c r="AZ80" s="150"/>
      <c r="BA80" s="150"/>
      <c r="BB80" s="147"/>
      <c r="BC80" s="147"/>
      <c r="BF80" s="105"/>
      <c r="BG80" s="105"/>
    </row>
    <row r="81" spans="1:59">
      <c r="A81" s="144"/>
      <c r="B81" s="145"/>
      <c r="C81" s="145"/>
      <c r="D81" s="146"/>
      <c r="E81" s="146"/>
      <c r="F81" s="144"/>
      <c r="G81" s="145"/>
      <c r="H81" s="145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50"/>
      <c r="AA81" s="149"/>
      <c r="AB81" s="149"/>
      <c r="AC81" s="149"/>
      <c r="AD81" s="149"/>
      <c r="AE81" s="149"/>
      <c r="AF81" s="149"/>
      <c r="AG81" s="149"/>
      <c r="AH81" s="150"/>
      <c r="AI81" s="24"/>
      <c r="AJ81" s="104"/>
      <c r="AK81" s="24"/>
      <c r="AL81" s="24"/>
      <c r="AM81" s="24"/>
      <c r="AN81" s="24"/>
      <c r="AO81" s="24"/>
      <c r="AP81" s="104"/>
      <c r="AQ81" s="24"/>
      <c r="AS81" s="24"/>
      <c r="AT81" s="24"/>
      <c r="AU81" s="24"/>
      <c r="AV81" s="104"/>
      <c r="AW81" s="147"/>
      <c r="AX81" s="147"/>
      <c r="AY81" s="147"/>
      <c r="AZ81" s="150"/>
      <c r="BA81" s="150"/>
      <c r="BB81" s="147"/>
      <c r="BC81" s="147"/>
      <c r="BF81" s="105"/>
      <c r="BG81" s="105"/>
    </row>
    <row r="82" spans="1:59">
      <c r="A82" s="144"/>
      <c r="B82" s="145"/>
      <c r="C82" s="145"/>
      <c r="D82" s="146"/>
      <c r="E82" s="146"/>
      <c r="F82" s="144"/>
      <c r="G82" s="145"/>
      <c r="H82" s="145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50"/>
      <c r="AA82" s="149"/>
      <c r="AB82" s="149"/>
      <c r="AC82" s="149"/>
      <c r="AD82" s="149"/>
      <c r="AE82" s="149"/>
      <c r="AF82" s="149"/>
      <c r="AG82" s="149"/>
      <c r="AH82" s="150"/>
      <c r="AI82" s="24"/>
      <c r="AJ82" s="104"/>
      <c r="AK82" s="24"/>
      <c r="AL82" s="24"/>
      <c r="AM82" s="24"/>
      <c r="AN82" s="24"/>
      <c r="AO82" s="24"/>
      <c r="AP82" s="104"/>
      <c r="AQ82" s="24"/>
      <c r="AS82" s="24"/>
      <c r="AT82" s="24"/>
      <c r="AU82" s="24"/>
      <c r="AV82" s="104"/>
      <c r="AW82" s="147"/>
      <c r="AX82" s="147"/>
      <c r="AY82" s="147"/>
      <c r="AZ82" s="150"/>
      <c r="BA82" s="150"/>
      <c r="BB82" s="147"/>
      <c r="BC82" s="147"/>
      <c r="BF82" s="105"/>
      <c r="BG82" s="105"/>
    </row>
    <row r="83" spans="1:59">
      <c r="A83" s="144"/>
      <c r="B83" s="145"/>
      <c r="C83" s="145"/>
      <c r="D83" s="146"/>
      <c r="E83" s="146"/>
      <c r="F83" s="144"/>
      <c r="G83" s="145"/>
      <c r="H83" s="145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50"/>
      <c r="AA83" s="149"/>
      <c r="AB83" s="149"/>
      <c r="AC83" s="149"/>
      <c r="AD83" s="149"/>
      <c r="AE83" s="149"/>
      <c r="AF83" s="149"/>
      <c r="AG83" s="149"/>
      <c r="AH83" s="150"/>
      <c r="AI83" s="24"/>
      <c r="AJ83" s="104"/>
      <c r="AK83" s="24"/>
      <c r="AL83" s="24"/>
      <c r="AM83" s="24"/>
      <c r="AN83" s="24"/>
      <c r="AO83" s="24"/>
      <c r="AP83" s="104"/>
      <c r="AQ83" s="24"/>
      <c r="AS83" s="24"/>
      <c r="AT83" s="24"/>
      <c r="AU83" s="24"/>
      <c r="AV83" s="104"/>
      <c r="AW83" s="147"/>
      <c r="AX83" s="147"/>
      <c r="AY83" s="147"/>
      <c r="AZ83" s="150"/>
      <c r="BA83" s="150"/>
      <c r="BB83" s="147"/>
      <c r="BC83" s="147"/>
      <c r="BF83" s="105"/>
      <c r="BG83" s="105"/>
    </row>
    <row r="84" spans="1:59">
      <c r="A84" s="144"/>
      <c r="B84" s="145"/>
      <c r="C84" s="145"/>
      <c r="D84" s="146"/>
      <c r="E84" s="146"/>
      <c r="F84" s="144"/>
      <c r="G84" s="145"/>
      <c r="H84" s="145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50"/>
      <c r="AA84" s="149"/>
      <c r="AB84" s="149"/>
      <c r="AC84" s="149"/>
      <c r="AD84" s="149"/>
      <c r="AE84" s="149"/>
      <c r="AF84" s="149"/>
      <c r="AG84" s="149"/>
      <c r="AH84" s="150"/>
      <c r="AI84" s="24"/>
      <c r="AJ84" s="104"/>
      <c r="AK84" s="24"/>
      <c r="AL84" s="24"/>
      <c r="AM84" s="24"/>
      <c r="AN84" s="24"/>
      <c r="AO84" s="24"/>
      <c r="AP84" s="104"/>
      <c r="AQ84" s="24"/>
      <c r="AS84" s="24"/>
      <c r="AT84" s="24"/>
      <c r="AU84" s="24"/>
      <c r="AV84" s="104"/>
      <c r="AW84" s="147"/>
      <c r="AX84" s="147"/>
      <c r="AY84" s="147"/>
      <c r="AZ84" s="150"/>
      <c r="BA84" s="150"/>
      <c r="BB84" s="147"/>
      <c r="BC84" s="147"/>
      <c r="BF84" s="105"/>
      <c r="BG84" s="105"/>
    </row>
    <row r="85" spans="1:59">
      <c r="A85" s="144"/>
      <c r="B85" s="145"/>
      <c r="C85" s="145"/>
      <c r="D85" s="146"/>
      <c r="E85" s="146"/>
      <c r="F85" s="144"/>
      <c r="G85" s="145"/>
      <c r="H85" s="145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50"/>
      <c r="AA85" s="149"/>
      <c r="AB85" s="149"/>
      <c r="AC85" s="149"/>
      <c r="AD85" s="149"/>
      <c r="AE85" s="149"/>
      <c r="AF85" s="149"/>
      <c r="AG85" s="149"/>
      <c r="AH85" s="150"/>
      <c r="AI85" s="24"/>
      <c r="AJ85" s="104"/>
      <c r="AK85" s="24"/>
      <c r="AL85" s="24"/>
      <c r="AM85" s="24"/>
      <c r="AN85" s="24"/>
      <c r="AO85" s="24"/>
      <c r="AP85" s="104"/>
      <c r="AQ85" s="24"/>
      <c r="AS85" s="24"/>
      <c r="AT85" s="24"/>
      <c r="AU85" s="24"/>
      <c r="AV85" s="104"/>
      <c r="AW85" s="147"/>
      <c r="AX85" s="147"/>
      <c r="AY85" s="147"/>
      <c r="AZ85" s="150"/>
      <c r="BA85" s="150"/>
      <c r="BB85" s="147"/>
      <c r="BC85" s="147"/>
      <c r="BF85" s="105"/>
      <c r="BG85" s="105"/>
    </row>
    <row r="86" spans="1:59">
      <c r="A86" s="144"/>
      <c r="B86" s="145"/>
      <c r="C86" s="145"/>
      <c r="D86" s="146"/>
      <c r="E86" s="146"/>
      <c r="F86" s="144"/>
      <c r="G86" s="145"/>
      <c r="H86" s="145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50"/>
      <c r="AA86" s="149"/>
      <c r="AB86" s="149"/>
      <c r="AC86" s="149"/>
      <c r="AD86" s="149"/>
      <c r="AE86" s="149"/>
      <c r="AF86" s="149"/>
      <c r="AG86" s="149"/>
      <c r="AH86" s="150"/>
      <c r="AI86" s="24"/>
      <c r="AJ86" s="104"/>
      <c r="AK86" s="24"/>
      <c r="AL86" s="24"/>
      <c r="AM86" s="24"/>
      <c r="AN86" s="24"/>
      <c r="AO86" s="24"/>
      <c r="AP86" s="104"/>
      <c r="AQ86" s="24"/>
      <c r="AS86" s="24"/>
      <c r="AT86" s="24"/>
      <c r="AU86" s="24"/>
      <c r="AV86" s="104"/>
      <c r="AW86" s="147"/>
      <c r="AX86" s="147"/>
      <c r="AY86" s="147"/>
      <c r="AZ86" s="150"/>
      <c r="BA86" s="150"/>
      <c r="BB86" s="147"/>
      <c r="BC86" s="147"/>
      <c r="BF86" s="105"/>
      <c r="BG86" s="105"/>
    </row>
    <row r="87" spans="1:59">
      <c r="A87" s="144"/>
      <c r="B87" s="145"/>
      <c r="C87" s="145"/>
      <c r="D87" s="146"/>
      <c r="E87" s="146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8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24"/>
      <c r="AJ87" s="104"/>
      <c r="AK87" s="24"/>
      <c r="AL87" s="24"/>
      <c r="AM87" s="24"/>
      <c r="AN87" s="24"/>
      <c r="AO87" s="24"/>
      <c r="AP87" s="104"/>
      <c r="AQ87" s="24"/>
      <c r="AS87" s="24"/>
      <c r="AT87" s="24"/>
      <c r="AU87" s="24"/>
      <c r="AV87" s="104"/>
      <c r="AW87" s="147"/>
      <c r="AX87" s="147"/>
      <c r="AY87" s="147"/>
      <c r="AZ87" s="150"/>
      <c r="BA87" s="150"/>
      <c r="BB87" s="147"/>
      <c r="BC87" s="147"/>
      <c r="BF87" s="105"/>
      <c r="BG87" s="105"/>
    </row>
    <row r="88" spans="1:59">
      <c r="A88" s="144"/>
      <c r="B88" s="145"/>
      <c r="C88" s="145"/>
      <c r="D88" s="146"/>
      <c r="E88" s="146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8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24"/>
      <c r="AJ88" s="104"/>
      <c r="AK88" s="24"/>
      <c r="AL88" s="24"/>
      <c r="AM88" s="24"/>
      <c r="AN88" s="24"/>
      <c r="AO88" s="24"/>
      <c r="AP88" s="104"/>
      <c r="AQ88" s="24"/>
      <c r="AS88" s="24"/>
      <c r="AT88" s="24"/>
      <c r="AU88" s="24"/>
      <c r="AV88" s="104"/>
      <c r="AW88" s="147"/>
      <c r="AX88" s="147"/>
      <c r="AY88" s="147"/>
      <c r="AZ88" s="150"/>
      <c r="BA88" s="150"/>
      <c r="BB88" s="147"/>
      <c r="BC88" s="147"/>
      <c r="BF88" s="105"/>
      <c r="BG88" s="105"/>
    </row>
    <row r="89" spans="1:59">
      <c r="A89" s="144"/>
      <c r="B89" s="145"/>
      <c r="C89" s="145"/>
      <c r="D89" s="146"/>
      <c r="E89" s="146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8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24"/>
      <c r="AJ89" s="104"/>
      <c r="AK89" s="24"/>
      <c r="AL89" s="24"/>
      <c r="AM89" s="24"/>
      <c r="AN89" s="24"/>
      <c r="AO89" s="24"/>
      <c r="AP89" s="104"/>
      <c r="AQ89" s="24"/>
      <c r="AS89" s="24"/>
      <c r="AT89" s="24"/>
      <c r="AU89" s="24"/>
      <c r="AV89" s="104"/>
      <c r="AW89" s="147"/>
      <c r="AX89" s="147"/>
      <c r="AY89" s="147"/>
      <c r="AZ89" s="150"/>
      <c r="BA89" s="150"/>
      <c r="BB89" s="147"/>
      <c r="BC89" s="147"/>
      <c r="BF89" s="105"/>
      <c r="BG89" s="105"/>
    </row>
    <row r="90" spans="1:59">
      <c r="A90" s="144"/>
      <c r="B90" s="145"/>
      <c r="C90" s="145"/>
      <c r="D90" s="146"/>
      <c r="E90" s="146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8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24"/>
      <c r="AJ90" s="104"/>
      <c r="AK90" s="24"/>
      <c r="AL90" s="24"/>
      <c r="AM90" s="24"/>
      <c r="AN90" s="24"/>
      <c r="AO90" s="24"/>
      <c r="AP90" s="104"/>
      <c r="AQ90" s="24"/>
      <c r="AS90" s="24"/>
      <c r="AT90" s="24"/>
      <c r="AU90" s="24"/>
      <c r="AV90" s="104"/>
      <c r="AW90" s="147"/>
      <c r="AX90" s="147"/>
      <c r="AY90" s="147"/>
      <c r="AZ90" s="150"/>
      <c r="BA90" s="150"/>
      <c r="BB90" s="147"/>
      <c r="BC90" s="147"/>
      <c r="BF90" s="105"/>
      <c r="BG90" s="105"/>
    </row>
    <row r="91" spans="1:59">
      <c r="A91" s="144"/>
      <c r="B91" s="145"/>
      <c r="C91" s="145"/>
      <c r="D91" s="146"/>
      <c r="E91" s="146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8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24"/>
      <c r="AJ91" s="104"/>
      <c r="AK91" s="24"/>
      <c r="AL91" s="24"/>
      <c r="AM91" s="24"/>
      <c r="AN91" s="24"/>
      <c r="AO91" s="24"/>
      <c r="AP91" s="104"/>
      <c r="AQ91" s="24"/>
      <c r="AS91" s="24"/>
      <c r="AT91" s="24"/>
      <c r="AU91" s="24"/>
      <c r="AV91" s="104"/>
      <c r="AW91" s="147"/>
      <c r="AX91" s="147"/>
      <c r="AY91" s="147"/>
      <c r="AZ91" s="150"/>
      <c r="BA91" s="150"/>
      <c r="BB91" s="147"/>
      <c r="BC91" s="147"/>
      <c r="BF91" s="105"/>
      <c r="BG91" s="105"/>
    </row>
    <row r="92" spans="1:59">
      <c r="A92" s="144"/>
      <c r="B92" s="145"/>
      <c r="C92" s="145"/>
      <c r="D92" s="146"/>
      <c r="E92" s="146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8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24"/>
      <c r="AJ92" s="104"/>
      <c r="AK92" s="24"/>
      <c r="AL92" s="24"/>
      <c r="AM92" s="24"/>
      <c r="AN92" s="24"/>
      <c r="AO92" s="24"/>
      <c r="AP92" s="104"/>
      <c r="AQ92" s="24"/>
      <c r="AS92" s="24"/>
      <c r="AT92" s="24"/>
      <c r="AU92" s="24"/>
      <c r="AV92" s="104"/>
      <c r="AW92" s="147"/>
      <c r="AX92" s="147"/>
      <c r="AY92" s="147"/>
      <c r="AZ92" s="150"/>
      <c r="BA92" s="150"/>
      <c r="BB92" s="147"/>
      <c r="BC92" s="147"/>
      <c r="BF92" s="105"/>
      <c r="BG92" s="105"/>
    </row>
    <row r="93" spans="1:59">
      <c r="A93" s="144"/>
      <c r="B93" s="145"/>
      <c r="C93" s="145"/>
      <c r="D93" s="146"/>
      <c r="E93" s="146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8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24"/>
      <c r="AJ93" s="104"/>
      <c r="AK93" s="24"/>
      <c r="AL93" s="24"/>
      <c r="AM93" s="24"/>
      <c r="AN93" s="24"/>
      <c r="AO93" s="24"/>
      <c r="AP93" s="104"/>
      <c r="AQ93" s="24"/>
      <c r="AS93" s="24"/>
      <c r="AT93" s="24"/>
      <c r="AU93" s="24"/>
      <c r="AV93" s="104"/>
      <c r="AW93" s="147"/>
      <c r="AX93" s="147"/>
      <c r="AY93" s="147"/>
      <c r="AZ93" s="150"/>
      <c r="BA93" s="150"/>
      <c r="BB93" s="147"/>
      <c r="BC93" s="147"/>
      <c r="BF93" s="105"/>
      <c r="BG93" s="105"/>
    </row>
    <row r="94" spans="1:59">
      <c r="A94" s="144"/>
      <c r="B94" s="145"/>
      <c r="C94" s="145"/>
      <c r="D94" s="146"/>
      <c r="E94" s="146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8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24"/>
      <c r="AJ94" s="104"/>
      <c r="AK94" s="24"/>
      <c r="AL94" s="24"/>
      <c r="AM94" s="24"/>
      <c r="AN94" s="24"/>
      <c r="AO94" s="24"/>
      <c r="AP94" s="104"/>
      <c r="AQ94" s="24"/>
      <c r="AS94" s="24"/>
      <c r="AT94" s="24"/>
      <c r="AU94" s="24"/>
      <c r="AV94" s="104"/>
      <c r="AW94" s="147"/>
      <c r="AX94" s="147"/>
      <c r="AY94" s="147"/>
      <c r="AZ94" s="150"/>
      <c r="BA94" s="150"/>
      <c r="BB94" s="147"/>
      <c r="BC94" s="147"/>
      <c r="BF94" s="105"/>
      <c r="BG94" s="105"/>
    </row>
    <row r="95" spans="1:59">
      <c r="A95" s="144"/>
      <c r="B95" s="145"/>
      <c r="C95" s="145"/>
      <c r="D95" s="146"/>
      <c r="E95" s="146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8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24"/>
      <c r="AJ95" s="104"/>
      <c r="AK95" s="24"/>
      <c r="AL95" s="24"/>
      <c r="AM95" s="24"/>
      <c r="AN95" s="24"/>
      <c r="AO95" s="24"/>
      <c r="AP95" s="104"/>
      <c r="AQ95" s="24"/>
      <c r="AS95" s="24"/>
      <c r="AT95" s="24"/>
      <c r="AU95" s="24"/>
      <c r="AV95" s="104"/>
      <c r="AW95" s="147"/>
      <c r="AX95" s="147"/>
      <c r="AY95" s="147"/>
      <c r="AZ95" s="150"/>
      <c r="BA95" s="150"/>
      <c r="BB95" s="147"/>
      <c r="BC95" s="147"/>
      <c r="BF95" s="105"/>
      <c r="BG95" s="105"/>
    </row>
    <row r="96" spans="1:59">
      <c r="A96" s="144"/>
      <c r="B96" s="145"/>
      <c r="C96" s="145"/>
      <c r="D96" s="146"/>
      <c r="E96" s="146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8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24"/>
      <c r="AJ96" s="104"/>
      <c r="AK96" s="24"/>
      <c r="AL96" s="24"/>
      <c r="AM96" s="24"/>
      <c r="AN96" s="24"/>
      <c r="AO96" s="24"/>
      <c r="AP96" s="104"/>
      <c r="AQ96" s="24"/>
      <c r="AS96" s="24"/>
      <c r="AT96" s="24"/>
      <c r="AU96" s="24"/>
      <c r="AV96" s="104"/>
      <c r="AW96" s="147"/>
      <c r="AX96" s="147"/>
      <c r="AY96" s="147"/>
      <c r="AZ96" s="150"/>
      <c r="BA96" s="150"/>
      <c r="BB96" s="147"/>
      <c r="BC96" s="147"/>
      <c r="BF96" s="105"/>
      <c r="BG96" s="105"/>
    </row>
    <row r="97" spans="1:59">
      <c r="A97" s="144"/>
      <c r="B97" s="145"/>
      <c r="C97" s="145"/>
      <c r="D97" s="146"/>
      <c r="E97" s="146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8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24"/>
      <c r="AJ97" s="104"/>
      <c r="AK97" s="24"/>
      <c r="AL97" s="24"/>
      <c r="AM97" s="24"/>
      <c r="AN97" s="24"/>
      <c r="AO97" s="24"/>
      <c r="AP97" s="104"/>
      <c r="AQ97" s="24"/>
      <c r="AS97" s="24"/>
      <c r="AT97" s="24"/>
      <c r="AU97" s="24"/>
      <c r="AV97" s="104"/>
      <c r="AW97" s="147"/>
      <c r="AX97" s="147"/>
      <c r="AY97" s="147"/>
      <c r="AZ97" s="150"/>
      <c r="BA97" s="150"/>
      <c r="BB97" s="147"/>
      <c r="BC97" s="147"/>
      <c r="BF97" s="105"/>
      <c r="BG97" s="105"/>
    </row>
    <row r="98" spans="1:59">
      <c r="A98" s="144"/>
      <c r="B98" s="145"/>
      <c r="C98" s="145"/>
      <c r="D98" s="146"/>
      <c r="E98" s="146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8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24"/>
      <c r="AJ98" s="104"/>
      <c r="AK98" s="24"/>
      <c r="AL98" s="24"/>
      <c r="AM98" s="24"/>
      <c r="AN98" s="24"/>
      <c r="AO98" s="24"/>
      <c r="AP98" s="104"/>
      <c r="AQ98" s="24"/>
      <c r="AS98" s="24"/>
      <c r="AT98" s="24"/>
      <c r="AU98" s="24"/>
      <c r="AV98" s="104"/>
      <c r="AW98" s="147"/>
      <c r="AX98" s="147"/>
      <c r="AY98" s="147"/>
      <c r="AZ98" s="150"/>
      <c r="BA98" s="150"/>
      <c r="BB98" s="147"/>
      <c r="BC98" s="147"/>
      <c r="BF98" s="105"/>
      <c r="BG98" s="105"/>
    </row>
    <row r="99" spans="1:59">
      <c r="A99" s="144"/>
      <c r="B99" s="145"/>
      <c r="C99" s="145"/>
      <c r="D99" s="146"/>
      <c r="E99" s="146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8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24"/>
      <c r="AJ99" s="104"/>
      <c r="AK99" s="24"/>
      <c r="AL99" s="24"/>
      <c r="AM99" s="24"/>
      <c r="AN99" s="24"/>
      <c r="AO99" s="24"/>
      <c r="AP99" s="104"/>
      <c r="AQ99" s="24"/>
      <c r="AS99" s="24"/>
      <c r="AT99" s="24"/>
      <c r="AU99" s="24"/>
      <c r="AV99" s="104"/>
      <c r="AW99" s="147"/>
      <c r="AX99" s="147"/>
      <c r="AY99" s="147"/>
      <c r="AZ99" s="150"/>
      <c r="BA99" s="150"/>
      <c r="BB99" s="147"/>
      <c r="BC99" s="147"/>
      <c r="BF99" s="105"/>
      <c r="BG99" s="105"/>
    </row>
    <row r="100" spans="1:59">
      <c r="A100" s="144"/>
      <c r="B100" s="145"/>
      <c r="C100" s="145"/>
      <c r="D100" s="146"/>
      <c r="E100" s="146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8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24"/>
      <c r="AJ100" s="104"/>
      <c r="AK100" s="24"/>
      <c r="AL100" s="24"/>
      <c r="AM100" s="24"/>
      <c r="AN100" s="24"/>
      <c r="AO100" s="24"/>
      <c r="AP100" s="104"/>
      <c r="AQ100" s="24"/>
      <c r="AS100" s="24"/>
      <c r="AT100" s="24"/>
      <c r="AU100" s="24"/>
      <c r="AV100" s="104"/>
      <c r="AW100" s="147"/>
      <c r="AX100" s="147"/>
      <c r="AY100" s="147"/>
      <c r="AZ100" s="150"/>
      <c r="BA100" s="150"/>
      <c r="BB100" s="147"/>
      <c r="BC100" s="147"/>
      <c r="BF100" s="105"/>
      <c r="BG100" s="105"/>
    </row>
    <row r="101" spans="1:59">
      <c r="A101" s="144"/>
      <c r="B101" s="145"/>
      <c r="C101" s="145"/>
      <c r="D101" s="146"/>
      <c r="E101" s="146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8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24"/>
      <c r="AJ101" s="104"/>
      <c r="AK101" s="24"/>
      <c r="AL101" s="24"/>
      <c r="AM101" s="24"/>
      <c r="AN101" s="24"/>
      <c r="AO101" s="24"/>
      <c r="AP101" s="104"/>
      <c r="AQ101" s="24"/>
      <c r="AS101" s="24"/>
      <c r="AT101" s="24"/>
      <c r="AU101" s="24"/>
      <c r="AV101" s="104"/>
      <c r="AW101" s="147"/>
      <c r="AX101" s="147"/>
      <c r="AY101" s="147"/>
      <c r="AZ101" s="150"/>
      <c r="BA101" s="150"/>
      <c r="BB101" s="147"/>
      <c r="BC101" s="147"/>
      <c r="BF101" s="105"/>
      <c r="BG101" s="105"/>
    </row>
    <row r="102" spans="1:59">
      <c r="A102" s="144"/>
      <c r="B102" s="145"/>
      <c r="C102" s="145"/>
      <c r="D102" s="146"/>
      <c r="E102" s="146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8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24"/>
      <c r="AJ102" s="104"/>
      <c r="AK102" s="24"/>
      <c r="AL102" s="24"/>
      <c r="AM102" s="24"/>
      <c r="AN102" s="24"/>
      <c r="AO102" s="24"/>
      <c r="AP102" s="104"/>
      <c r="AQ102" s="24"/>
      <c r="AS102" s="24"/>
      <c r="AT102" s="24"/>
      <c r="AU102" s="24"/>
      <c r="AV102" s="104"/>
      <c r="AW102" s="147"/>
      <c r="AX102" s="147"/>
      <c r="AY102" s="147"/>
      <c r="AZ102" s="150"/>
      <c r="BA102" s="150"/>
      <c r="BB102" s="147"/>
      <c r="BC102" s="147"/>
      <c r="BF102" s="105"/>
      <c r="BG102" s="105"/>
    </row>
    <row r="103" spans="1:59">
      <c r="A103" s="144"/>
      <c r="B103" s="145"/>
      <c r="C103" s="145"/>
      <c r="D103" s="146"/>
      <c r="E103" s="146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8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24"/>
      <c r="AJ103" s="104"/>
      <c r="AK103" s="24"/>
      <c r="AL103" s="24"/>
      <c r="AM103" s="24"/>
      <c r="AN103" s="24"/>
      <c r="AO103" s="24"/>
      <c r="AP103" s="104"/>
      <c r="AQ103" s="24"/>
      <c r="AS103" s="24"/>
      <c r="AT103" s="24"/>
      <c r="AU103" s="24"/>
      <c r="AV103" s="104"/>
      <c r="AW103" s="147"/>
      <c r="AX103" s="147"/>
      <c r="AY103" s="147"/>
      <c r="AZ103" s="150"/>
      <c r="BA103" s="150"/>
      <c r="BB103" s="147"/>
      <c r="BC103" s="147"/>
      <c r="BF103" s="105"/>
      <c r="BG103" s="105"/>
    </row>
    <row r="104" spans="1:59">
      <c r="A104" s="144"/>
      <c r="B104" s="145"/>
      <c r="C104" s="145"/>
      <c r="D104" s="146"/>
      <c r="E104" s="146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8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24"/>
      <c r="AJ104" s="104"/>
      <c r="AK104" s="24"/>
      <c r="AL104" s="24"/>
      <c r="AM104" s="24"/>
      <c r="AN104" s="24"/>
      <c r="AO104" s="24"/>
      <c r="AP104" s="104"/>
      <c r="AQ104" s="24"/>
      <c r="AS104" s="24"/>
      <c r="AT104" s="24"/>
      <c r="AU104" s="24"/>
      <c r="AV104" s="104"/>
      <c r="AW104" s="147"/>
      <c r="AX104" s="147"/>
      <c r="AY104" s="147"/>
      <c r="AZ104" s="150"/>
      <c r="BA104" s="150"/>
      <c r="BB104" s="147"/>
      <c r="BC104" s="147"/>
      <c r="BF104" s="105"/>
      <c r="BG104" s="105"/>
    </row>
    <row r="105" spans="1:59">
      <c r="A105" s="144"/>
      <c r="B105" s="145"/>
      <c r="C105" s="145"/>
      <c r="D105" s="146"/>
      <c r="E105" s="146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8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24"/>
      <c r="AJ105" s="104"/>
      <c r="AK105" s="24"/>
      <c r="AL105" s="24"/>
      <c r="AM105" s="24"/>
      <c r="AN105" s="24"/>
      <c r="AO105" s="24"/>
      <c r="AP105" s="104"/>
      <c r="AQ105" s="24"/>
      <c r="AS105" s="24"/>
      <c r="AT105" s="24"/>
      <c r="AU105" s="24"/>
      <c r="AV105" s="104"/>
      <c r="AW105" s="147"/>
      <c r="AX105" s="147"/>
      <c r="AY105" s="147"/>
      <c r="AZ105" s="150"/>
      <c r="BA105" s="150"/>
      <c r="BB105" s="147"/>
      <c r="BC105" s="147"/>
      <c r="BF105" s="105"/>
      <c r="BG105" s="105"/>
    </row>
    <row r="106" spans="1:59">
      <c r="A106" s="144"/>
      <c r="B106" s="145"/>
      <c r="C106" s="145"/>
      <c r="D106" s="146"/>
      <c r="E106" s="146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8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24"/>
      <c r="AJ106" s="104"/>
      <c r="AK106" s="24"/>
      <c r="AL106" s="24"/>
      <c r="AM106" s="24"/>
      <c r="AN106" s="24"/>
      <c r="AO106" s="24"/>
      <c r="AP106" s="104"/>
      <c r="AQ106" s="24"/>
      <c r="AS106" s="24"/>
      <c r="AT106" s="24"/>
      <c r="AU106" s="24"/>
      <c r="AV106" s="104"/>
      <c r="AW106" s="147"/>
      <c r="AX106" s="147"/>
      <c r="AY106" s="147"/>
      <c r="AZ106" s="150"/>
      <c r="BA106" s="150"/>
      <c r="BB106" s="147"/>
      <c r="BC106" s="147"/>
      <c r="BF106" s="105"/>
      <c r="BG106" s="105"/>
    </row>
    <row r="107" spans="1:59">
      <c r="A107" s="144"/>
      <c r="B107" s="145"/>
      <c r="C107" s="145"/>
      <c r="D107" s="146"/>
      <c r="E107" s="146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8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24"/>
      <c r="AJ107" s="104"/>
      <c r="AK107" s="24"/>
      <c r="AL107" s="24"/>
      <c r="AM107" s="24"/>
      <c r="AN107" s="24"/>
      <c r="AO107" s="24"/>
      <c r="AP107" s="104"/>
      <c r="AQ107" s="24"/>
      <c r="AS107" s="24"/>
      <c r="AT107" s="24"/>
      <c r="AU107" s="24"/>
      <c r="AV107" s="104"/>
      <c r="AW107" s="147"/>
      <c r="AX107" s="147"/>
      <c r="AY107" s="147"/>
      <c r="AZ107" s="150"/>
      <c r="BA107" s="150"/>
      <c r="BB107" s="147"/>
      <c r="BC107" s="147"/>
      <c r="BF107" s="105"/>
      <c r="BG107" s="105"/>
    </row>
    <row r="108" spans="1:59">
      <c r="A108" s="144"/>
      <c r="B108" s="145"/>
      <c r="C108" s="145"/>
      <c r="D108" s="146"/>
      <c r="E108" s="146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8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24"/>
      <c r="AJ108" s="104"/>
      <c r="AK108" s="24"/>
      <c r="AL108" s="24"/>
      <c r="AM108" s="24"/>
      <c r="AN108" s="24"/>
      <c r="AO108" s="24"/>
      <c r="AP108" s="104"/>
      <c r="AQ108" s="24"/>
      <c r="AS108" s="24"/>
      <c r="AT108" s="24"/>
      <c r="AU108" s="24"/>
      <c r="AV108" s="104"/>
      <c r="AW108" s="147"/>
      <c r="AX108" s="147"/>
      <c r="AY108" s="147"/>
      <c r="AZ108" s="150"/>
      <c r="BA108" s="150"/>
      <c r="BB108" s="147"/>
      <c r="BC108" s="147"/>
      <c r="BF108" s="105"/>
      <c r="BG108" s="105"/>
    </row>
    <row r="109" spans="1:59">
      <c r="A109" s="144"/>
      <c r="B109" s="145"/>
      <c r="C109" s="145"/>
      <c r="D109" s="146"/>
      <c r="E109" s="146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8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24"/>
      <c r="AJ109" s="104"/>
      <c r="AK109" s="24"/>
      <c r="AL109" s="24"/>
      <c r="AM109" s="24"/>
      <c r="AN109" s="24"/>
      <c r="AO109" s="24"/>
      <c r="AP109" s="104"/>
      <c r="AQ109" s="24"/>
      <c r="AS109" s="24"/>
      <c r="AT109" s="24"/>
      <c r="AU109" s="24"/>
      <c r="AV109" s="104"/>
      <c r="AW109" s="147"/>
      <c r="AX109" s="147"/>
      <c r="AY109" s="147"/>
      <c r="AZ109" s="150"/>
      <c r="BA109" s="150"/>
      <c r="BB109" s="147"/>
      <c r="BC109" s="147"/>
      <c r="BF109" s="105"/>
      <c r="BG109" s="105"/>
    </row>
    <row r="110" spans="1:59">
      <c r="A110" s="144"/>
      <c r="B110" s="145"/>
      <c r="C110" s="145"/>
      <c r="D110" s="146"/>
      <c r="E110" s="146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8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24"/>
      <c r="AJ110" s="104"/>
      <c r="AK110" s="24"/>
      <c r="AL110" s="24"/>
      <c r="AM110" s="24"/>
      <c r="AN110" s="24"/>
      <c r="AO110" s="24"/>
      <c r="AP110" s="104"/>
      <c r="AQ110" s="24"/>
      <c r="AS110" s="24"/>
      <c r="AT110" s="24"/>
      <c r="AU110" s="24"/>
      <c r="AV110" s="104"/>
      <c r="AW110" s="147"/>
      <c r="AX110" s="147"/>
      <c r="AY110" s="147"/>
      <c r="AZ110" s="150"/>
      <c r="BA110" s="150"/>
      <c r="BB110" s="147"/>
      <c r="BC110" s="147"/>
      <c r="BF110" s="105"/>
      <c r="BG110" s="105"/>
    </row>
    <row r="111" spans="1:59">
      <c r="A111" s="144"/>
      <c r="B111" s="145"/>
      <c r="C111" s="145"/>
      <c r="D111" s="146"/>
      <c r="E111" s="146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8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09"/>
      <c r="AJ111" s="104"/>
      <c r="AK111" s="109"/>
      <c r="AL111" s="109"/>
      <c r="AM111" s="109"/>
      <c r="AN111" s="109"/>
      <c r="AO111" s="109"/>
      <c r="AP111" s="104"/>
      <c r="AQ111" s="109"/>
      <c r="AS111" s="109"/>
      <c r="AT111" s="109"/>
      <c r="AU111" s="109"/>
      <c r="AV111" s="104"/>
      <c r="AW111" s="147"/>
      <c r="AX111" s="147"/>
      <c r="AY111" s="147"/>
      <c r="AZ111" s="150"/>
      <c r="BA111" s="150"/>
      <c r="BB111" s="147"/>
      <c r="BC111" s="147"/>
      <c r="BF111" s="105"/>
      <c r="BG111" s="105"/>
    </row>
    <row r="112" spans="1:59">
      <c r="A112" s="144"/>
      <c r="B112" s="145"/>
      <c r="C112" s="145"/>
      <c r="D112" s="146"/>
      <c r="E112" s="146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8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24"/>
      <c r="AJ112" s="104"/>
      <c r="AK112" s="24"/>
      <c r="AL112" s="24"/>
      <c r="AM112" s="24"/>
      <c r="AN112" s="24"/>
      <c r="AO112" s="24"/>
      <c r="AP112" s="104"/>
      <c r="AQ112" s="24"/>
      <c r="AS112" s="24"/>
      <c r="AT112" s="24"/>
      <c r="AU112" s="24"/>
      <c r="AV112" s="104"/>
      <c r="AW112" s="147"/>
      <c r="AX112" s="147"/>
      <c r="AY112" s="147"/>
      <c r="AZ112" s="150"/>
      <c r="BA112" s="150"/>
      <c r="BB112" s="147"/>
      <c r="BC112" s="147"/>
      <c r="BF112" s="105"/>
      <c r="BG112" s="105"/>
    </row>
    <row r="113" spans="1:59">
      <c r="A113" s="144"/>
      <c r="B113" s="145"/>
      <c r="C113" s="145"/>
      <c r="D113" s="146"/>
      <c r="E113" s="146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8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24"/>
      <c r="AJ113" s="104"/>
      <c r="AK113" s="24"/>
      <c r="AL113" s="24"/>
      <c r="AM113" s="24"/>
      <c r="AN113" s="24"/>
      <c r="AO113" s="24"/>
      <c r="AP113" s="104"/>
      <c r="AQ113" s="24"/>
      <c r="AS113" s="24"/>
      <c r="AT113" s="24"/>
      <c r="AU113" s="24"/>
      <c r="AV113" s="104"/>
      <c r="AW113" s="147"/>
      <c r="AX113" s="147"/>
      <c r="AY113" s="147"/>
      <c r="AZ113" s="150"/>
      <c r="BA113" s="150"/>
      <c r="BB113" s="147"/>
      <c r="BC113" s="147"/>
      <c r="BF113" s="105"/>
      <c r="BG113" s="105"/>
    </row>
    <row r="114" spans="1:59">
      <c r="A114" s="144"/>
      <c r="B114" s="145"/>
      <c r="C114" s="145"/>
      <c r="D114" s="146"/>
      <c r="E114" s="146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8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24"/>
      <c r="AJ114" s="104"/>
      <c r="AK114" s="24"/>
      <c r="AL114" s="24"/>
      <c r="AM114" s="24"/>
      <c r="AN114" s="24"/>
      <c r="AO114" s="24"/>
      <c r="AP114" s="104"/>
      <c r="AQ114" s="24"/>
      <c r="AS114" s="24"/>
      <c r="AT114" s="24"/>
      <c r="AU114" s="24"/>
      <c r="AV114" s="104"/>
      <c r="AW114" s="147"/>
      <c r="AX114" s="147"/>
      <c r="AY114" s="147"/>
      <c r="AZ114" s="150"/>
      <c r="BA114" s="150"/>
      <c r="BB114" s="147"/>
      <c r="BC114" s="147"/>
      <c r="BF114" s="105"/>
      <c r="BG114" s="105"/>
    </row>
    <row r="115" spans="1:59">
      <c r="A115" s="144"/>
      <c r="B115" s="145"/>
      <c r="C115" s="145"/>
      <c r="D115" s="146"/>
      <c r="E115" s="146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8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24"/>
      <c r="AJ115" s="104"/>
      <c r="AK115" s="24"/>
      <c r="AL115" s="24"/>
      <c r="AM115" s="24"/>
      <c r="AN115" s="24"/>
      <c r="AO115" s="24"/>
      <c r="AP115" s="104"/>
      <c r="AQ115" s="24"/>
      <c r="AS115" s="24"/>
      <c r="AT115" s="24"/>
      <c r="AU115" s="24"/>
      <c r="AV115" s="104"/>
      <c r="AW115" s="147"/>
      <c r="AX115" s="147"/>
      <c r="AY115" s="147"/>
      <c r="AZ115" s="150"/>
      <c r="BA115" s="150"/>
      <c r="BB115" s="147"/>
      <c r="BC115" s="147"/>
      <c r="BF115" s="105"/>
      <c r="BG115" s="105"/>
    </row>
    <row r="116" spans="1:59">
      <c r="A116" s="144"/>
      <c r="B116" s="145"/>
      <c r="C116" s="145"/>
      <c r="D116" s="146"/>
      <c r="E116" s="146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8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24"/>
      <c r="AJ116" s="104"/>
      <c r="AK116" s="24"/>
      <c r="AL116" s="24"/>
      <c r="AM116" s="24"/>
      <c r="AN116" s="24"/>
      <c r="AO116" s="24"/>
      <c r="AP116" s="104"/>
      <c r="AQ116" s="24"/>
      <c r="AS116" s="24"/>
      <c r="AT116" s="24"/>
      <c r="AU116" s="24"/>
      <c r="AV116" s="104"/>
      <c r="AW116" s="147"/>
      <c r="AX116" s="147"/>
      <c r="AY116" s="147"/>
      <c r="AZ116" s="150"/>
      <c r="BA116" s="150"/>
      <c r="BB116" s="147"/>
      <c r="BC116" s="147"/>
      <c r="BF116" s="105"/>
      <c r="BG116" s="105"/>
    </row>
    <row r="117" spans="1:59">
      <c r="A117" s="144"/>
      <c r="B117" s="145"/>
      <c r="C117" s="145"/>
      <c r="D117" s="146"/>
      <c r="E117" s="146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8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24"/>
      <c r="AJ117" s="104"/>
      <c r="AK117" s="24"/>
      <c r="AL117" s="24"/>
      <c r="AM117" s="24"/>
      <c r="AN117" s="24"/>
      <c r="AO117" s="24"/>
      <c r="AP117" s="104"/>
      <c r="AQ117" s="24"/>
      <c r="AS117" s="24"/>
      <c r="AT117" s="24"/>
      <c r="AU117" s="24"/>
      <c r="AV117" s="104"/>
      <c r="AW117" s="147"/>
      <c r="AX117" s="147"/>
      <c r="AY117" s="147"/>
      <c r="AZ117" s="150"/>
      <c r="BA117" s="150"/>
      <c r="BB117" s="147"/>
      <c r="BC117" s="147"/>
      <c r="BF117" s="105"/>
      <c r="BG117" s="105"/>
    </row>
    <row r="118" spans="1:59">
      <c r="A118" s="144"/>
      <c r="B118" s="145"/>
      <c r="C118" s="145"/>
      <c r="D118" s="146"/>
      <c r="E118" s="146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8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09"/>
      <c r="AJ118" s="104"/>
      <c r="AK118" s="109"/>
      <c r="AL118" s="109"/>
      <c r="AM118" s="109"/>
      <c r="AN118" s="109"/>
      <c r="AO118" s="109"/>
      <c r="AP118" s="104"/>
      <c r="AQ118" s="109"/>
      <c r="AS118" s="109"/>
      <c r="AT118" s="109"/>
      <c r="AU118" s="109"/>
      <c r="AV118" s="104"/>
      <c r="AW118" s="147"/>
      <c r="AX118" s="147"/>
      <c r="AY118" s="147"/>
      <c r="AZ118" s="150"/>
      <c r="BA118" s="150"/>
      <c r="BB118" s="147"/>
      <c r="BC118" s="147"/>
      <c r="BF118" s="105"/>
      <c r="BG118" s="105"/>
    </row>
    <row r="119" spans="1:59">
      <c r="A119" s="144"/>
      <c r="B119" s="145"/>
      <c r="C119" s="145"/>
      <c r="D119" s="146"/>
      <c r="E119" s="146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8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24"/>
      <c r="AJ119" s="104"/>
      <c r="AK119" s="24"/>
      <c r="AL119" s="24"/>
      <c r="AM119" s="24"/>
      <c r="AN119" s="24"/>
      <c r="AO119" s="24"/>
      <c r="AP119" s="104"/>
      <c r="AQ119" s="24"/>
      <c r="AS119" s="24"/>
      <c r="AT119" s="24"/>
      <c r="AU119" s="24"/>
      <c r="AV119" s="104"/>
      <c r="AW119" s="147"/>
      <c r="AX119" s="147"/>
      <c r="AY119" s="147"/>
      <c r="AZ119" s="150"/>
      <c r="BA119" s="150"/>
      <c r="BB119" s="147"/>
      <c r="BC119" s="147"/>
      <c r="BF119" s="105"/>
      <c r="BG119" s="105"/>
    </row>
    <row r="120" spans="1:59">
      <c r="A120" s="144"/>
      <c r="B120" s="145"/>
      <c r="C120" s="145"/>
      <c r="D120" s="146"/>
      <c r="E120" s="146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8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24"/>
      <c r="AJ120" s="104"/>
      <c r="AK120" s="24"/>
      <c r="AL120" s="24"/>
      <c r="AM120" s="24"/>
      <c r="AN120" s="24"/>
      <c r="AO120" s="24"/>
      <c r="AP120" s="104"/>
      <c r="AQ120" s="24"/>
      <c r="AS120" s="24"/>
      <c r="AT120" s="24"/>
      <c r="AU120" s="24"/>
      <c r="AV120" s="104"/>
      <c r="AW120" s="147"/>
      <c r="AX120" s="147"/>
      <c r="AY120" s="147"/>
      <c r="AZ120" s="150"/>
      <c r="BA120" s="150"/>
      <c r="BB120" s="147"/>
      <c r="BC120" s="147"/>
      <c r="BF120" s="105"/>
      <c r="BG120" s="105"/>
    </row>
    <row r="121" spans="1:59">
      <c r="A121" s="144"/>
      <c r="B121" s="145"/>
      <c r="C121" s="145"/>
      <c r="D121" s="146"/>
      <c r="E121" s="146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8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24"/>
      <c r="AJ121" s="104"/>
      <c r="AK121" s="24"/>
      <c r="AL121" s="24"/>
      <c r="AM121" s="24"/>
      <c r="AN121" s="24"/>
      <c r="AO121" s="24"/>
      <c r="AP121" s="104"/>
      <c r="AQ121" s="24"/>
      <c r="AS121" s="24"/>
      <c r="AT121" s="24"/>
      <c r="AU121" s="24"/>
      <c r="AV121" s="104"/>
      <c r="AW121" s="147"/>
      <c r="AX121" s="147"/>
      <c r="AY121" s="147"/>
      <c r="AZ121" s="150"/>
      <c r="BA121" s="150"/>
      <c r="BB121" s="147"/>
      <c r="BC121" s="147"/>
      <c r="BF121" s="105"/>
      <c r="BG121" s="105"/>
    </row>
    <row r="122" spans="1:59">
      <c r="A122" s="144"/>
      <c r="B122" s="145"/>
      <c r="C122" s="145"/>
      <c r="D122" s="146"/>
      <c r="E122" s="146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8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24"/>
      <c r="AJ122" s="104"/>
      <c r="AK122" s="24"/>
      <c r="AL122" s="24"/>
      <c r="AM122" s="24"/>
      <c r="AN122" s="24"/>
      <c r="AO122" s="24"/>
      <c r="AP122" s="104"/>
      <c r="AQ122" s="24"/>
      <c r="AS122" s="24"/>
      <c r="AT122" s="24"/>
      <c r="AU122" s="24"/>
      <c r="AV122" s="104"/>
      <c r="AW122" s="147"/>
      <c r="AX122" s="147"/>
      <c r="AY122" s="147"/>
      <c r="AZ122" s="150"/>
      <c r="BA122" s="150"/>
      <c r="BB122" s="147"/>
      <c r="BC122" s="147"/>
      <c r="BF122" s="105"/>
      <c r="BG122" s="105"/>
    </row>
    <row r="123" spans="1:59">
      <c r="A123" s="144"/>
      <c r="B123" s="145"/>
      <c r="C123" s="145"/>
      <c r="D123" s="146"/>
      <c r="E123" s="146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8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24"/>
      <c r="AJ123" s="104"/>
      <c r="AK123" s="24"/>
      <c r="AL123" s="24"/>
      <c r="AM123" s="24"/>
      <c r="AN123" s="24"/>
      <c r="AO123" s="24"/>
      <c r="AP123" s="104"/>
      <c r="AQ123" s="24"/>
      <c r="AS123" s="24"/>
      <c r="AT123" s="24"/>
      <c r="AU123" s="24"/>
      <c r="AV123" s="104"/>
      <c r="AW123" s="147"/>
      <c r="AX123" s="147"/>
      <c r="AY123" s="147"/>
      <c r="AZ123" s="150"/>
      <c r="BA123" s="150"/>
      <c r="BB123" s="147"/>
      <c r="BC123" s="147"/>
      <c r="BF123" s="105"/>
      <c r="BG123" s="105"/>
    </row>
    <row r="124" spans="1:59">
      <c r="A124" s="144"/>
      <c r="B124" s="145"/>
      <c r="C124" s="145"/>
      <c r="D124" s="146"/>
      <c r="E124" s="146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8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24"/>
      <c r="AJ124" s="104"/>
      <c r="AK124" s="24"/>
      <c r="AL124" s="24"/>
      <c r="AM124" s="24"/>
      <c r="AN124" s="24"/>
      <c r="AO124" s="24"/>
      <c r="AP124" s="104"/>
      <c r="AQ124" s="24"/>
      <c r="AS124" s="24"/>
      <c r="AT124" s="24"/>
      <c r="AU124" s="24"/>
      <c r="AV124" s="104"/>
      <c r="AW124" s="147"/>
      <c r="AX124" s="147"/>
      <c r="AY124" s="147"/>
      <c r="AZ124" s="150"/>
      <c r="BA124" s="150"/>
      <c r="BB124" s="147"/>
      <c r="BC124" s="147"/>
      <c r="BF124" s="105"/>
      <c r="BG124" s="105"/>
    </row>
    <row r="125" spans="1:59">
      <c r="A125" s="144"/>
      <c r="B125" s="145"/>
      <c r="C125" s="145"/>
      <c r="D125" s="146"/>
      <c r="E125" s="146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8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24"/>
      <c r="AJ125" s="104"/>
      <c r="AK125" s="24"/>
      <c r="AL125" s="24"/>
      <c r="AM125" s="24"/>
      <c r="AN125" s="24"/>
      <c r="AO125" s="24"/>
      <c r="AP125" s="104"/>
      <c r="AQ125" s="24"/>
      <c r="AS125" s="24"/>
      <c r="AT125" s="24"/>
      <c r="AU125" s="24"/>
      <c r="AV125" s="104"/>
      <c r="AW125" s="147"/>
      <c r="AX125" s="147"/>
      <c r="AY125" s="147"/>
      <c r="AZ125" s="150"/>
      <c r="BA125" s="150"/>
      <c r="BB125" s="147"/>
      <c r="BC125" s="147"/>
      <c r="BF125" s="105"/>
      <c r="BG125" s="105"/>
    </row>
    <row r="126" spans="1:59">
      <c r="A126" s="144"/>
      <c r="B126" s="145"/>
      <c r="C126" s="145"/>
      <c r="D126" s="146"/>
      <c r="E126" s="146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8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24"/>
      <c r="AJ126" s="104"/>
      <c r="AK126" s="24"/>
      <c r="AL126" s="24"/>
      <c r="AM126" s="24"/>
      <c r="AN126" s="24"/>
      <c r="AO126" s="24"/>
      <c r="AP126" s="104"/>
      <c r="AQ126" s="24"/>
      <c r="AS126" s="24"/>
      <c r="AT126" s="24"/>
      <c r="AU126" s="24"/>
      <c r="AV126" s="104"/>
      <c r="AW126" s="147"/>
      <c r="AX126" s="147"/>
      <c r="AY126" s="147"/>
      <c r="AZ126" s="150"/>
      <c r="BA126" s="150"/>
      <c r="BB126" s="147"/>
      <c r="BC126" s="147"/>
      <c r="BF126" s="105"/>
      <c r="BG126" s="105"/>
    </row>
    <row r="127" spans="1:59">
      <c r="A127" s="144"/>
      <c r="B127" s="145"/>
      <c r="C127" s="145"/>
      <c r="D127" s="146"/>
      <c r="E127" s="146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8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09"/>
      <c r="AJ127" s="104"/>
      <c r="AK127" s="109"/>
      <c r="AL127" s="109"/>
      <c r="AM127" s="109"/>
      <c r="AN127" s="109"/>
      <c r="AO127" s="109"/>
      <c r="AP127" s="104"/>
      <c r="AQ127" s="109"/>
      <c r="AS127" s="109"/>
      <c r="AT127" s="109"/>
      <c r="AU127" s="109"/>
      <c r="AV127" s="104"/>
      <c r="AW127" s="147"/>
      <c r="AX127" s="147"/>
      <c r="AY127" s="147"/>
      <c r="AZ127" s="150"/>
      <c r="BA127" s="150"/>
      <c r="BB127" s="147"/>
      <c r="BC127" s="147"/>
      <c r="BF127" s="105"/>
      <c r="BG127" s="105"/>
    </row>
    <row r="128" spans="1:59">
      <c r="A128" s="144"/>
      <c r="B128" s="145"/>
      <c r="C128" s="145"/>
      <c r="D128" s="146"/>
      <c r="E128" s="146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8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24"/>
      <c r="AJ128" s="104"/>
      <c r="AK128" s="24"/>
      <c r="AL128" s="24"/>
      <c r="AM128" s="24"/>
      <c r="AN128" s="24"/>
      <c r="AO128" s="24"/>
      <c r="AP128" s="104"/>
      <c r="AQ128" s="24"/>
      <c r="AS128" s="24"/>
      <c r="AT128" s="24"/>
      <c r="AU128" s="24"/>
      <c r="AV128" s="104"/>
      <c r="AW128" s="147"/>
      <c r="AX128" s="147"/>
      <c r="AY128" s="147"/>
      <c r="AZ128" s="150"/>
      <c r="BA128" s="150"/>
      <c r="BB128" s="147"/>
      <c r="BC128" s="147"/>
      <c r="BF128" s="105"/>
      <c r="BG128" s="105"/>
    </row>
    <row r="129" spans="1:59">
      <c r="A129" s="144"/>
      <c r="B129" s="145"/>
      <c r="C129" s="145"/>
      <c r="D129" s="146"/>
      <c r="E129" s="146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8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24"/>
      <c r="AJ129" s="104"/>
      <c r="AK129" s="24"/>
      <c r="AL129" s="24"/>
      <c r="AM129" s="24"/>
      <c r="AN129" s="24"/>
      <c r="AO129" s="24"/>
      <c r="AP129" s="104"/>
      <c r="AQ129" s="24"/>
      <c r="AS129" s="24"/>
      <c r="AT129" s="24"/>
      <c r="AU129" s="24"/>
      <c r="AV129" s="104"/>
      <c r="AW129" s="147"/>
      <c r="AX129" s="147"/>
      <c r="AY129" s="147"/>
      <c r="AZ129" s="150"/>
      <c r="BA129" s="150"/>
      <c r="BB129" s="147"/>
      <c r="BC129" s="147"/>
      <c r="BF129" s="105"/>
      <c r="BG129" s="105"/>
    </row>
    <row r="130" spans="1:59">
      <c r="A130" s="144"/>
      <c r="B130" s="145"/>
      <c r="C130" s="145"/>
      <c r="D130" s="146"/>
      <c r="E130" s="146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8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24"/>
      <c r="AJ130" s="104"/>
      <c r="AK130" s="24"/>
      <c r="AL130" s="24"/>
      <c r="AM130" s="24"/>
      <c r="AN130" s="24"/>
      <c r="AO130" s="24"/>
      <c r="AP130" s="104"/>
      <c r="AQ130" s="24"/>
      <c r="AS130" s="24"/>
      <c r="AT130" s="24"/>
      <c r="AU130" s="24"/>
      <c r="AV130" s="104"/>
      <c r="AW130" s="147"/>
      <c r="AX130" s="147"/>
      <c r="AY130" s="147"/>
      <c r="AZ130" s="150"/>
      <c r="BA130" s="150"/>
      <c r="BB130" s="147"/>
      <c r="BC130" s="147"/>
      <c r="BF130" s="105"/>
      <c r="BG130" s="105"/>
    </row>
    <row r="131" spans="1:59">
      <c r="A131" s="144"/>
      <c r="B131" s="145"/>
      <c r="C131" s="145"/>
      <c r="D131" s="146"/>
      <c r="E131" s="146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8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09"/>
      <c r="AJ131" s="104"/>
      <c r="AK131" s="109"/>
      <c r="AL131" s="109"/>
      <c r="AM131" s="109"/>
      <c r="AN131" s="109"/>
      <c r="AO131" s="109"/>
      <c r="AP131" s="104"/>
      <c r="AQ131" s="109"/>
      <c r="AS131" s="109"/>
      <c r="AT131" s="109"/>
      <c r="AU131" s="109"/>
      <c r="AV131" s="104"/>
      <c r="AW131" s="147"/>
      <c r="AX131" s="147"/>
      <c r="AY131" s="147"/>
      <c r="AZ131" s="150"/>
      <c r="BA131" s="150"/>
      <c r="BB131" s="147"/>
      <c r="BC131" s="147"/>
      <c r="BF131" s="105"/>
      <c r="BG131" s="105"/>
    </row>
    <row r="132" spans="1:59">
      <c r="A132" s="144"/>
      <c r="B132" s="145"/>
      <c r="C132" s="145"/>
      <c r="D132" s="146"/>
      <c r="E132" s="146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8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24"/>
      <c r="AJ132" s="104"/>
      <c r="AK132" s="24"/>
      <c r="AL132" s="24"/>
      <c r="AM132" s="24"/>
      <c r="AN132" s="24"/>
      <c r="AO132" s="24"/>
      <c r="AP132" s="104"/>
      <c r="AQ132" s="24"/>
      <c r="AS132" s="24"/>
      <c r="AT132" s="24"/>
      <c r="AU132" s="24"/>
      <c r="AV132" s="104"/>
      <c r="AW132" s="147"/>
      <c r="AX132" s="147"/>
      <c r="AY132" s="147"/>
      <c r="AZ132" s="147"/>
      <c r="BA132" s="147"/>
      <c r="BB132" s="147"/>
      <c r="BC132" s="147"/>
      <c r="BF132" s="105"/>
      <c r="BG132" s="105"/>
    </row>
    <row r="133" spans="1:59">
      <c r="A133" s="144"/>
      <c r="B133" s="145"/>
      <c r="C133" s="145"/>
      <c r="D133" s="146"/>
      <c r="E133" s="146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8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24"/>
      <c r="AJ133" s="104"/>
      <c r="AK133" s="24"/>
      <c r="AL133" s="24"/>
      <c r="AM133" s="24"/>
      <c r="AN133" s="24"/>
      <c r="AO133" s="24"/>
      <c r="AP133" s="104"/>
      <c r="AQ133" s="24"/>
      <c r="AS133" s="24"/>
      <c r="AT133" s="24"/>
      <c r="AU133" s="24"/>
      <c r="AV133" s="104"/>
      <c r="AW133" s="147"/>
      <c r="AX133" s="147"/>
      <c r="AY133" s="147"/>
      <c r="AZ133" s="147"/>
      <c r="BA133" s="147"/>
      <c r="BB133" s="147"/>
      <c r="BC133" s="147"/>
      <c r="BF133" s="105"/>
      <c r="BG133" s="105"/>
    </row>
    <row r="134" spans="1:59">
      <c r="A134" s="144"/>
      <c r="B134" s="145"/>
      <c r="C134" s="145"/>
      <c r="D134" s="146"/>
      <c r="E134" s="146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8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24"/>
      <c r="AJ134" s="104"/>
      <c r="AK134" s="24"/>
      <c r="AL134" s="24"/>
      <c r="AM134" s="24"/>
      <c r="AN134" s="24"/>
      <c r="AO134" s="24"/>
      <c r="AP134" s="104"/>
      <c r="AQ134" s="24"/>
      <c r="AS134" s="24"/>
      <c r="AT134" s="24"/>
      <c r="AU134" s="24"/>
      <c r="AV134" s="104"/>
      <c r="AW134" s="147"/>
      <c r="AX134" s="147"/>
      <c r="AY134" s="147"/>
      <c r="AZ134" s="147"/>
      <c r="BA134" s="147"/>
      <c r="BB134" s="147"/>
      <c r="BC134" s="147"/>
      <c r="BF134" s="105"/>
      <c r="BG134" s="105"/>
    </row>
    <row r="135" spans="1:59">
      <c r="A135" s="144"/>
      <c r="B135" s="145"/>
      <c r="C135" s="145"/>
      <c r="D135" s="146"/>
      <c r="E135" s="146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8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24"/>
      <c r="AJ135" s="104"/>
      <c r="AK135" s="24"/>
      <c r="AL135" s="24"/>
      <c r="AM135" s="24"/>
      <c r="AN135" s="24"/>
      <c r="AO135" s="24"/>
      <c r="AP135" s="104"/>
      <c r="AQ135" s="24"/>
      <c r="AS135" s="24"/>
      <c r="AT135" s="24"/>
      <c r="AU135" s="24"/>
      <c r="AV135" s="104"/>
      <c r="AW135" s="147"/>
      <c r="AX135" s="147"/>
      <c r="AY135" s="147"/>
      <c r="AZ135" s="147"/>
      <c r="BA135" s="147"/>
      <c r="BB135" s="147"/>
      <c r="BC135" s="147"/>
      <c r="BF135" s="105"/>
      <c r="BG135" s="105"/>
    </row>
    <row r="136" spans="1:59">
      <c r="A136" s="144"/>
      <c r="B136" s="145"/>
      <c r="C136" s="145"/>
      <c r="D136" s="146"/>
      <c r="E136" s="146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8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24"/>
      <c r="AJ136" s="104"/>
      <c r="AK136" s="24"/>
      <c r="AL136" s="24"/>
      <c r="AM136" s="24"/>
      <c r="AN136" s="24"/>
      <c r="AO136" s="24"/>
      <c r="AP136" s="104"/>
      <c r="AQ136" s="24"/>
      <c r="AS136" s="24"/>
      <c r="AT136" s="24"/>
      <c r="AU136" s="24"/>
      <c r="AV136" s="104"/>
      <c r="AW136" s="147"/>
      <c r="AX136" s="147"/>
      <c r="AY136" s="147"/>
      <c r="AZ136" s="147"/>
      <c r="BA136" s="147"/>
      <c r="BB136" s="147"/>
      <c r="BC136" s="147"/>
      <c r="BF136" s="105"/>
      <c r="BG136" s="105"/>
    </row>
    <row r="137" spans="1:59">
      <c r="A137" s="144"/>
      <c r="B137" s="145"/>
      <c r="C137" s="145"/>
      <c r="D137" s="146"/>
      <c r="E137" s="146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8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24"/>
      <c r="AJ137" s="104"/>
      <c r="AK137" s="24"/>
      <c r="AL137" s="24"/>
      <c r="AM137" s="24"/>
      <c r="AN137" s="24"/>
      <c r="AO137" s="24"/>
      <c r="AP137" s="104"/>
      <c r="AQ137" s="24"/>
      <c r="AS137" s="24"/>
      <c r="AT137" s="24"/>
      <c r="AU137" s="24"/>
      <c r="AV137" s="104"/>
      <c r="AW137" s="147"/>
      <c r="AX137" s="147"/>
      <c r="AY137" s="147"/>
      <c r="AZ137" s="147"/>
      <c r="BA137" s="147"/>
      <c r="BB137" s="147"/>
      <c r="BC137" s="147"/>
      <c r="BF137" s="105"/>
      <c r="BG137" s="105"/>
    </row>
    <row r="138" spans="1:59">
      <c r="A138" s="144"/>
      <c r="B138" s="145"/>
      <c r="C138" s="145"/>
      <c r="D138" s="146"/>
      <c r="E138" s="146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8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24"/>
      <c r="AJ138" s="104"/>
      <c r="AK138" s="24"/>
      <c r="AL138" s="24"/>
      <c r="AM138" s="24"/>
      <c r="AN138" s="24"/>
      <c r="AO138" s="24"/>
      <c r="AP138" s="104"/>
      <c r="AQ138" s="24"/>
      <c r="AS138" s="24"/>
      <c r="AT138" s="24"/>
      <c r="AU138" s="24"/>
      <c r="AV138" s="104"/>
      <c r="AW138" s="147"/>
      <c r="AX138" s="147"/>
      <c r="AY138" s="147"/>
      <c r="AZ138" s="147"/>
      <c r="BA138" s="147"/>
      <c r="BB138" s="147"/>
      <c r="BC138" s="147"/>
      <c r="BF138" s="105"/>
      <c r="BG138" s="105"/>
    </row>
    <row r="139" spans="1:59">
      <c r="A139" s="144"/>
      <c r="B139" s="145"/>
      <c r="C139" s="145"/>
      <c r="D139" s="146"/>
      <c r="E139" s="146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8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24"/>
      <c r="AJ139" s="104"/>
      <c r="AK139" s="24"/>
      <c r="AL139" s="24"/>
      <c r="AM139" s="24"/>
      <c r="AN139" s="24"/>
      <c r="AO139" s="24"/>
      <c r="AP139" s="104"/>
      <c r="AQ139" s="24"/>
      <c r="AS139" s="24"/>
      <c r="AT139" s="24"/>
      <c r="AU139" s="24"/>
      <c r="AV139" s="104"/>
      <c r="AW139" s="147"/>
      <c r="AX139" s="147"/>
      <c r="AY139" s="147"/>
      <c r="AZ139" s="147"/>
      <c r="BA139" s="147"/>
      <c r="BB139" s="147"/>
      <c r="BC139" s="147"/>
      <c r="BF139" s="105"/>
      <c r="BG139" s="105"/>
    </row>
    <row r="140" spans="1:59">
      <c r="A140" s="144"/>
      <c r="B140" s="145"/>
      <c r="C140" s="145"/>
      <c r="D140" s="146"/>
      <c r="E140" s="146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8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24"/>
      <c r="AJ140" s="104"/>
      <c r="AK140" s="24"/>
      <c r="AL140" s="24"/>
      <c r="AM140" s="24"/>
      <c r="AN140" s="24"/>
      <c r="AO140" s="24"/>
      <c r="AP140" s="104"/>
      <c r="AQ140" s="24"/>
      <c r="AS140" s="24"/>
      <c r="AT140" s="24"/>
      <c r="AU140" s="24"/>
      <c r="AV140" s="104"/>
      <c r="AW140" s="147"/>
      <c r="AX140" s="147"/>
      <c r="AY140" s="147"/>
      <c r="AZ140" s="147"/>
      <c r="BA140" s="147"/>
      <c r="BB140" s="147"/>
      <c r="BC140" s="147"/>
      <c r="BF140" s="105"/>
      <c r="BG140" s="105"/>
    </row>
    <row r="141" spans="1:59">
      <c r="A141" s="144"/>
      <c r="B141" s="145"/>
      <c r="C141" s="145"/>
      <c r="D141" s="146"/>
      <c r="E141" s="146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8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24"/>
      <c r="AJ141" s="104"/>
      <c r="AK141" s="24"/>
      <c r="AL141" s="24"/>
      <c r="AM141" s="24"/>
      <c r="AN141" s="24"/>
      <c r="AO141" s="24"/>
      <c r="AP141" s="104"/>
      <c r="AQ141" s="24"/>
      <c r="AS141" s="24"/>
      <c r="AT141" s="24"/>
      <c r="AU141" s="24"/>
      <c r="AV141" s="104"/>
      <c r="AW141" s="147"/>
      <c r="AX141" s="147"/>
      <c r="AY141" s="147"/>
      <c r="AZ141" s="147"/>
      <c r="BA141" s="147"/>
      <c r="BB141" s="147"/>
      <c r="BC141" s="147"/>
      <c r="BF141" s="105"/>
      <c r="BG141" s="105"/>
    </row>
    <row r="142" spans="1:59">
      <c r="A142" s="144"/>
      <c r="B142" s="145"/>
      <c r="C142" s="145"/>
      <c r="D142" s="146"/>
      <c r="E142" s="146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8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24"/>
      <c r="AJ142" s="104"/>
      <c r="AK142" s="24"/>
      <c r="AL142" s="24"/>
      <c r="AM142" s="24"/>
      <c r="AN142" s="24"/>
      <c r="AO142" s="24"/>
      <c r="AP142" s="104"/>
      <c r="AQ142" s="24"/>
      <c r="AS142" s="24"/>
      <c r="AT142" s="24"/>
      <c r="AU142" s="24"/>
      <c r="AV142" s="104"/>
      <c r="AW142" s="147"/>
      <c r="AX142" s="147"/>
      <c r="AY142" s="147"/>
      <c r="AZ142" s="147"/>
      <c r="BA142" s="147"/>
      <c r="BB142" s="147"/>
      <c r="BC142" s="147"/>
      <c r="BF142" s="105"/>
      <c r="BG142" s="105"/>
    </row>
    <row r="143" spans="1:59">
      <c r="A143" s="144"/>
      <c r="B143" s="145"/>
      <c r="C143" s="145"/>
      <c r="D143" s="146"/>
      <c r="E143" s="146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8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24"/>
      <c r="AJ143" s="104"/>
      <c r="AK143" s="24"/>
      <c r="AL143" s="24"/>
      <c r="AM143" s="24"/>
      <c r="AN143" s="24"/>
      <c r="AO143" s="24"/>
      <c r="AP143" s="104"/>
      <c r="AQ143" s="24"/>
      <c r="AS143" s="24"/>
      <c r="AT143" s="24"/>
      <c r="AU143" s="24"/>
      <c r="AV143" s="104"/>
      <c r="AW143" s="147"/>
      <c r="AX143" s="147"/>
      <c r="AY143" s="147"/>
      <c r="AZ143" s="147"/>
      <c r="BA143" s="147"/>
      <c r="BB143" s="147"/>
      <c r="BC143" s="147"/>
      <c r="BF143" s="105"/>
      <c r="BG143" s="105"/>
    </row>
    <row r="144" spans="1:59">
      <c r="A144" s="144"/>
      <c r="B144" s="145"/>
      <c r="C144" s="145"/>
      <c r="D144" s="146"/>
      <c r="E144" s="146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8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24"/>
      <c r="AJ144" s="104"/>
      <c r="AK144" s="24"/>
      <c r="AL144" s="24"/>
      <c r="AM144" s="24"/>
      <c r="AN144" s="24"/>
      <c r="AO144" s="24"/>
      <c r="AP144" s="104"/>
      <c r="AQ144" s="24"/>
      <c r="AS144" s="24"/>
      <c r="AT144" s="24"/>
      <c r="AU144" s="24"/>
      <c r="AV144" s="104"/>
      <c r="AW144" s="147"/>
      <c r="AX144" s="147"/>
      <c r="AY144" s="147"/>
      <c r="AZ144" s="147"/>
      <c r="BA144" s="147"/>
      <c r="BB144" s="147"/>
      <c r="BC144" s="147"/>
      <c r="BF144" s="105"/>
      <c r="BG144" s="105"/>
    </row>
    <row r="145" spans="1:59">
      <c r="A145" s="144"/>
      <c r="B145" s="145"/>
      <c r="C145" s="145"/>
      <c r="D145" s="146"/>
      <c r="E145" s="146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8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24"/>
      <c r="AJ145" s="104"/>
      <c r="AK145" s="24"/>
      <c r="AL145" s="24"/>
      <c r="AM145" s="24"/>
      <c r="AN145" s="24"/>
      <c r="AO145" s="24"/>
      <c r="AP145" s="104"/>
      <c r="AQ145" s="24"/>
      <c r="AS145" s="24"/>
      <c r="AT145" s="24"/>
      <c r="AU145" s="24"/>
      <c r="AV145" s="104"/>
      <c r="AW145" s="147"/>
      <c r="AX145" s="147"/>
      <c r="AY145" s="147"/>
      <c r="AZ145" s="147"/>
      <c r="BA145" s="147"/>
      <c r="BB145" s="147"/>
      <c r="BC145" s="147"/>
      <c r="BF145" s="105"/>
      <c r="BG145" s="105"/>
    </row>
    <row r="146" spans="1:59">
      <c r="A146" s="144"/>
      <c r="B146" s="145"/>
      <c r="C146" s="145"/>
      <c r="D146" s="146"/>
      <c r="E146" s="146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8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24"/>
      <c r="AJ146" s="104"/>
      <c r="AK146" s="24"/>
      <c r="AL146" s="24"/>
      <c r="AM146" s="24"/>
      <c r="AN146" s="24"/>
      <c r="AO146" s="24"/>
      <c r="AP146" s="104"/>
      <c r="AQ146" s="24"/>
      <c r="AS146" s="24"/>
      <c r="AT146" s="24"/>
      <c r="AU146" s="24"/>
      <c r="AV146" s="104"/>
      <c r="AW146" s="147"/>
      <c r="AX146" s="147"/>
      <c r="AY146" s="147"/>
      <c r="AZ146" s="147"/>
      <c r="BA146" s="147"/>
      <c r="BB146" s="147"/>
      <c r="BC146" s="147"/>
      <c r="BF146" s="105"/>
      <c r="BG146" s="105"/>
    </row>
    <row r="147" spans="1:59">
      <c r="A147" s="144"/>
      <c r="B147" s="145"/>
      <c r="C147" s="145"/>
      <c r="D147" s="146"/>
      <c r="E147" s="146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8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24"/>
      <c r="AJ147" s="104"/>
      <c r="AK147" s="24"/>
      <c r="AL147" s="24"/>
      <c r="AM147" s="24"/>
      <c r="AN147" s="24"/>
      <c r="AO147" s="24"/>
      <c r="AP147" s="104"/>
      <c r="AQ147" s="24"/>
      <c r="AS147" s="24"/>
      <c r="AT147" s="24"/>
      <c r="AU147" s="24"/>
      <c r="AV147" s="104"/>
      <c r="AW147" s="147"/>
      <c r="AX147" s="147"/>
      <c r="AY147" s="147"/>
      <c r="AZ147" s="147"/>
      <c r="BA147" s="147"/>
      <c r="BB147" s="147"/>
      <c r="BC147" s="147"/>
      <c r="BF147" s="105"/>
      <c r="BG147" s="105"/>
    </row>
    <row r="148" spans="1:59">
      <c r="AI148" s="142"/>
      <c r="AJ148" s="143"/>
      <c r="AK148" s="142"/>
      <c r="AL148" s="142"/>
      <c r="AM148" s="142"/>
      <c r="AN148" s="142"/>
      <c r="AO148" s="142"/>
      <c r="AP148" s="143"/>
      <c r="AQ148" s="142"/>
      <c r="AS148" s="142"/>
      <c r="AT148" s="142"/>
      <c r="AU148" s="142"/>
      <c r="AV148" s="143"/>
      <c r="BF148" s="105"/>
      <c r="BG148" s="105"/>
    </row>
    <row r="149" spans="1:59">
      <c r="AI149" s="24"/>
      <c r="AJ149" s="104"/>
      <c r="AK149" s="24"/>
      <c r="AL149" s="24"/>
      <c r="AM149" s="24"/>
      <c r="AN149" s="24"/>
      <c r="AO149" s="24"/>
      <c r="AP149" s="104"/>
      <c r="AQ149" s="24"/>
      <c r="AS149" s="24"/>
      <c r="AT149" s="24"/>
      <c r="AU149" s="24"/>
      <c r="AV149" s="104"/>
      <c r="BF149" s="105"/>
      <c r="BG149" s="105"/>
    </row>
    <row r="150" spans="1:59">
      <c r="AI150" s="24"/>
      <c r="AJ150" s="104"/>
      <c r="AK150" s="24"/>
      <c r="AL150" s="24"/>
      <c r="AM150" s="24"/>
      <c r="AN150" s="24"/>
      <c r="AO150" s="24"/>
      <c r="AP150" s="104"/>
      <c r="AQ150" s="24"/>
      <c r="AS150" s="24"/>
      <c r="AT150" s="24"/>
      <c r="AU150" s="24"/>
      <c r="AV150" s="104"/>
      <c r="BF150" s="105"/>
      <c r="BG150" s="105"/>
    </row>
    <row r="151" spans="1:59">
      <c r="AI151" s="24"/>
      <c r="AJ151" s="104"/>
      <c r="AK151" s="24"/>
      <c r="AL151" s="24"/>
      <c r="AM151" s="24"/>
      <c r="AN151" s="24"/>
      <c r="AO151" s="24"/>
      <c r="AP151" s="104"/>
      <c r="AQ151" s="24"/>
      <c r="AS151" s="24"/>
      <c r="AT151" s="24"/>
      <c r="AU151" s="24"/>
      <c r="AV151" s="104"/>
      <c r="BF151" s="105"/>
      <c r="BG151" s="105"/>
    </row>
    <row r="152" spans="1:59">
      <c r="AI152" s="24"/>
      <c r="AJ152" s="104"/>
      <c r="AK152" s="24"/>
      <c r="AL152" s="24"/>
      <c r="AM152" s="24"/>
      <c r="AN152" s="24"/>
      <c r="AO152" s="24"/>
      <c r="AP152" s="104"/>
      <c r="AQ152" s="24"/>
      <c r="AS152" s="24"/>
      <c r="AT152" s="24"/>
      <c r="AU152" s="24"/>
      <c r="AV152" s="104"/>
      <c r="BF152" s="105"/>
      <c r="BG152" s="105"/>
    </row>
    <row r="153" spans="1:59">
      <c r="AI153" s="24"/>
      <c r="AJ153" s="104"/>
      <c r="AK153" s="24"/>
      <c r="AL153" s="24"/>
      <c r="AM153" s="24"/>
      <c r="AN153" s="24"/>
      <c r="AO153" s="24"/>
      <c r="AP153" s="104"/>
      <c r="AQ153" s="24"/>
      <c r="AS153" s="24"/>
      <c r="AT153" s="24"/>
      <c r="AU153" s="24"/>
      <c r="AV153" s="104"/>
      <c r="BF153" s="105"/>
      <c r="BG153" s="105"/>
    </row>
    <row r="154" spans="1:59">
      <c r="AI154" s="24"/>
      <c r="AJ154" s="104"/>
      <c r="AK154" s="24"/>
      <c r="AL154" s="24"/>
      <c r="AM154" s="24"/>
      <c r="AN154" s="24"/>
      <c r="AO154" s="24"/>
      <c r="AP154" s="104"/>
      <c r="AQ154" s="24"/>
      <c r="AS154" s="24"/>
      <c r="AT154" s="24"/>
      <c r="AU154" s="24"/>
      <c r="AV154" s="104"/>
      <c r="BF154" s="105"/>
      <c r="BG154" s="105"/>
    </row>
    <row r="155" spans="1:59">
      <c r="AI155" s="108"/>
      <c r="AJ155" s="104"/>
      <c r="AK155" s="108"/>
      <c r="AL155" s="108"/>
      <c r="AM155" s="108"/>
      <c r="AN155" s="108"/>
      <c r="AO155" s="108"/>
      <c r="AP155" s="104"/>
      <c r="AQ155" s="108"/>
      <c r="AS155" s="108"/>
      <c r="AT155" s="108"/>
      <c r="AU155" s="108"/>
      <c r="AV155" s="104"/>
      <c r="BF155" s="105"/>
      <c r="BG155" s="105"/>
    </row>
    <row r="156" spans="1:59">
      <c r="AI156" s="24"/>
      <c r="AJ156" s="104"/>
      <c r="AK156" s="24"/>
      <c r="AL156" s="24"/>
      <c r="AM156" s="24"/>
      <c r="AN156" s="24"/>
      <c r="AO156" s="24"/>
      <c r="AP156" s="104"/>
      <c r="AQ156" s="24"/>
      <c r="AS156" s="24"/>
      <c r="AT156" s="24"/>
      <c r="AU156" s="24"/>
      <c r="AV156" s="104"/>
      <c r="BF156" s="105"/>
      <c r="BG156" s="105"/>
    </row>
    <row r="157" spans="1:59">
      <c r="AI157" s="24"/>
      <c r="AJ157" s="104"/>
      <c r="AK157" s="24"/>
      <c r="AL157" s="24"/>
      <c r="AM157" s="24"/>
      <c r="AN157" s="24"/>
      <c r="AO157" s="24"/>
      <c r="AP157" s="104"/>
      <c r="AQ157" s="24"/>
      <c r="AS157" s="24"/>
      <c r="AT157" s="24"/>
      <c r="AU157" s="24"/>
      <c r="AV157" s="104"/>
      <c r="BF157" s="105"/>
      <c r="BG157" s="105"/>
    </row>
    <row r="158" spans="1:59">
      <c r="AI158" s="24"/>
      <c r="AJ158" s="104"/>
      <c r="AK158" s="24"/>
      <c r="AL158" s="24"/>
      <c r="AM158" s="24"/>
      <c r="AN158" s="24"/>
      <c r="AO158" s="24"/>
      <c r="AP158" s="104"/>
      <c r="AQ158" s="24"/>
      <c r="AS158" s="24"/>
      <c r="AT158" s="24"/>
      <c r="AU158" s="24"/>
      <c r="AV158" s="104"/>
      <c r="BF158" s="105"/>
      <c r="BG158" s="105"/>
    </row>
    <row r="159" spans="1:59">
      <c r="AI159" s="108"/>
      <c r="AJ159" s="104"/>
      <c r="AK159" s="108"/>
      <c r="AL159" s="108"/>
      <c r="AM159" s="108"/>
      <c r="AN159" s="108"/>
      <c r="AO159" s="108"/>
      <c r="AP159" s="104"/>
      <c r="AQ159" s="108"/>
      <c r="AS159" s="108"/>
      <c r="AT159" s="108"/>
      <c r="AU159" s="108"/>
      <c r="AV159" s="104"/>
      <c r="BF159" s="105"/>
      <c r="BG159" s="105"/>
    </row>
    <row r="160" spans="1:59">
      <c r="AI160" s="108"/>
      <c r="AJ160" s="104"/>
      <c r="AK160" s="108"/>
      <c r="AL160" s="108"/>
      <c r="AM160" s="108"/>
      <c r="AN160" s="108"/>
      <c r="AO160" s="108"/>
      <c r="AP160" s="104"/>
      <c r="AQ160" s="108"/>
      <c r="AS160" s="108"/>
      <c r="AT160" s="108"/>
      <c r="AU160" s="108"/>
      <c r="AV160" s="104"/>
      <c r="BF160" s="105"/>
      <c r="BG160" s="105"/>
    </row>
    <row r="161" spans="35:59">
      <c r="AI161" s="24"/>
      <c r="AJ161" s="104"/>
      <c r="AK161" s="24"/>
      <c r="AL161" s="24"/>
      <c r="AM161" s="24"/>
      <c r="AN161" s="24"/>
      <c r="AO161" s="24"/>
      <c r="AP161" s="104"/>
      <c r="AQ161" s="24"/>
      <c r="AS161" s="24"/>
      <c r="AT161" s="24"/>
      <c r="AU161" s="24"/>
      <c r="AV161" s="104"/>
      <c r="BF161" s="105"/>
      <c r="BG161" s="105"/>
    </row>
    <row r="162" spans="35:59">
      <c r="AI162" s="24"/>
      <c r="AJ162" s="104"/>
      <c r="AK162" s="24"/>
      <c r="AL162" s="24"/>
      <c r="AM162" s="24"/>
      <c r="AN162" s="24"/>
      <c r="AO162" s="24"/>
      <c r="AP162" s="104"/>
      <c r="AQ162" s="24"/>
      <c r="AS162" s="24"/>
      <c r="AT162" s="24"/>
      <c r="AU162" s="24"/>
      <c r="AV162" s="104"/>
      <c r="BF162" s="105"/>
      <c r="BG162" s="105"/>
    </row>
    <row r="163" spans="35:59">
      <c r="AI163" s="24"/>
      <c r="AJ163" s="104"/>
      <c r="AK163" s="24"/>
      <c r="AL163" s="24"/>
      <c r="AM163" s="24"/>
      <c r="AN163" s="24"/>
      <c r="AO163" s="24"/>
      <c r="AP163" s="104"/>
      <c r="AQ163" s="24"/>
      <c r="AS163" s="24"/>
      <c r="AT163" s="24"/>
      <c r="AU163" s="24"/>
      <c r="AV163" s="104"/>
      <c r="BF163" s="105"/>
      <c r="BG163" s="105"/>
    </row>
    <row r="164" spans="35:59">
      <c r="AI164" s="108"/>
      <c r="AJ164" s="104"/>
      <c r="AK164" s="108"/>
      <c r="AL164" s="108"/>
      <c r="AM164" s="108"/>
      <c r="AN164" s="108"/>
      <c r="AO164" s="108"/>
      <c r="AP164" s="104"/>
      <c r="AQ164" s="108"/>
      <c r="AS164" s="108"/>
      <c r="AT164" s="108"/>
      <c r="AU164" s="108"/>
      <c r="AV164" s="104"/>
      <c r="BF164" s="105"/>
      <c r="BG164" s="105"/>
    </row>
    <row r="165" spans="35:59">
      <c r="AI165" s="108"/>
      <c r="AJ165" s="104"/>
      <c r="AK165" s="108"/>
      <c r="AL165" s="108"/>
      <c r="AM165" s="108"/>
      <c r="AN165" s="108"/>
      <c r="AO165" s="108"/>
      <c r="AP165" s="104"/>
      <c r="AQ165" s="108"/>
      <c r="AS165" s="108"/>
      <c r="AT165" s="108"/>
      <c r="AU165" s="108"/>
      <c r="AV165" s="104"/>
      <c r="BF165" s="105"/>
      <c r="BG165" s="105"/>
    </row>
    <row r="166" spans="35:59">
      <c r="AI166" s="24"/>
      <c r="AJ166" s="104"/>
      <c r="AK166" s="24"/>
      <c r="AL166" s="24"/>
      <c r="AM166" s="24"/>
      <c r="AN166" s="24"/>
      <c r="AO166" s="24"/>
      <c r="AP166" s="104"/>
      <c r="AQ166" s="24"/>
      <c r="AS166" s="24"/>
      <c r="AT166" s="24"/>
      <c r="AU166" s="24"/>
      <c r="AV166" s="104"/>
      <c r="BF166" s="105"/>
      <c r="BG166" s="105"/>
    </row>
    <row r="167" spans="35:59">
      <c r="AI167" s="24"/>
      <c r="AJ167" s="104"/>
      <c r="AK167" s="24"/>
      <c r="AL167" s="24"/>
      <c r="AM167" s="24"/>
      <c r="AN167" s="24"/>
      <c r="AO167" s="24"/>
      <c r="AP167" s="104"/>
      <c r="AQ167" s="24"/>
      <c r="AS167" s="24"/>
      <c r="AT167" s="24"/>
      <c r="AU167" s="24"/>
      <c r="AV167" s="104"/>
      <c r="BF167" s="105"/>
      <c r="BG167" s="105"/>
    </row>
    <row r="168" spans="35:59">
      <c r="AI168" s="24"/>
      <c r="AJ168" s="104"/>
      <c r="AK168" s="24"/>
      <c r="AL168" s="24"/>
      <c r="AM168" s="24"/>
      <c r="AN168" s="24"/>
      <c r="AO168" s="24"/>
      <c r="AP168" s="104"/>
      <c r="AQ168" s="24"/>
      <c r="AS168" s="24"/>
      <c r="AT168" s="24"/>
      <c r="AU168" s="24"/>
      <c r="AV168" s="104"/>
      <c r="BF168" s="105"/>
      <c r="BG168" s="105"/>
    </row>
    <row r="169" spans="35:59">
      <c r="AI169" s="108"/>
      <c r="AJ169" s="104"/>
      <c r="AK169" s="108"/>
      <c r="AL169" s="108"/>
      <c r="AM169" s="108"/>
      <c r="AN169" s="108"/>
      <c r="AO169" s="108"/>
      <c r="AP169" s="104"/>
      <c r="AQ169" s="108"/>
      <c r="AS169" s="108"/>
      <c r="AT169" s="108"/>
      <c r="AU169" s="108"/>
      <c r="AV169" s="104"/>
      <c r="BF169" s="105"/>
      <c r="BG169" s="105"/>
    </row>
    <row r="170" spans="35:59">
      <c r="AI170" s="108"/>
      <c r="AJ170" s="104"/>
      <c r="AK170" s="108"/>
      <c r="AL170" s="108"/>
      <c r="AM170" s="108"/>
      <c r="AN170" s="108"/>
      <c r="AO170" s="108"/>
      <c r="AP170" s="104"/>
      <c r="AQ170" s="108"/>
      <c r="AS170" s="108"/>
      <c r="AT170" s="108"/>
      <c r="AU170" s="108"/>
      <c r="AV170" s="104"/>
      <c r="BF170" s="105"/>
      <c r="BG170" s="105"/>
    </row>
    <row r="171" spans="35:59">
      <c r="AI171" s="24"/>
      <c r="AJ171" s="104"/>
      <c r="AK171" s="24"/>
      <c r="AL171" s="24"/>
      <c r="AM171" s="24"/>
      <c r="AN171" s="24"/>
      <c r="AO171" s="24"/>
      <c r="AP171" s="104"/>
      <c r="AQ171" s="24"/>
      <c r="AS171" s="24"/>
      <c r="AT171" s="24"/>
      <c r="AU171" s="24"/>
      <c r="AV171" s="104"/>
      <c r="BF171" s="105"/>
      <c r="BG171" s="105"/>
    </row>
    <row r="172" spans="35:59">
      <c r="AI172" s="24"/>
      <c r="AJ172" s="104"/>
      <c r="AK172" s="24"/>
      <c r="AL172" s="24"/>
      <c r="AM172" s="24"/>
      <c r="AN172" s="24"/>
      <c r="AO172" s="24"/>
      <c r="AP172" s="104"/>
      <c r="AQ172" s="24"/>
      <c r="AS172" s="24"/>
      <c r="AT172" s="24"/>
      <c r="AU172" s="24"/>
      <c r="AV172" s="104"/>
      <c r="BF172" s="105"/>
      <c r="BG172" s="105"/>
    </row>
    <row r="173" spans="35:59">
      <c r="AI173" s="24"/>
      <c r="AJ173" s="104"/>
      <c r="AK173" s="24"/>
      <c r="AL173" s="24"/>
      <c r="AM173" s="24"/>
      <c r="AN173" s="24"/>
      <c r="AO173" s="24"/>
      <c r="AP173" s="104"/>
      <c r="AQ173" s="24"/>
      <c r="AS173" s="24"/>
      <c r="AT173" s="24"/>
      <c r="AU173" s="24"/>
      <c r="AV173" s="104"/>
      <c r="BF173" s="105"/>
      <c r="BG173" s="105"/>
    </row>
    <row r="174" spans="35:59">
      <c r="AI174" s="24"/>
      <c r="AJ174" s="104"/>
      <c r="AK174" s="24"/>
      <c r="AL174" s="24"/>
      <c r="AM174" s="24"/>
      <c r="AN174" s="24"/>
      <c r="AO174" s="24"/>
      <c r="AP174" s="104"/>
      <c r="AQ174" s="24"/>
      <c r="AS174" s="24"/>
      <c r="AT174" s="24"/>
      <c r="AU174" s="24"/>
      <c r="AV174" s="104"/>
      <c r="BF174" s="105"/>
      <c r="BG174" s="105"/>
    </row>
    <row r="175" spans="35:59">
      <c r="AI175" s="24"/>
      <c r="AJ175" s="104"/>
      <c r="AK175" s="24"/>
      <c r="AL175" s="24"/>
      <c r="AM175" s="24"/>
      <c r="AN175" s="24"/>
      <c r="AO175" s="24"/>
      <c r="AP175" s="104"/>
      <c r="AQ175" s="24"/>
      <c r="AS175" s="24"/>
      <c r="AT175" s="24"/>
      <c r="AU175" s="24"/>
      <c r="AV175" s="104"/>
      <c r="BF175" s="105"/>
      <c r="BG175" s="105"/>
    </row>
    <row r="176" spans="35:59">
      <c r="AI176" s="24"/>
      <c r="AJ176" s="104"/>
      <c r="AK176" s="24"/>
      <c r="AL176" s="24"/>
      <c r="AM176" s="24"/>
      <c r="AN176" s="24"/>
      <c r="AO176" s="24"/>
      <c r="AP176" s="104"/>
      <c r="AQ176" s="24"/>
      <c r="AS176" s="24"/>
      <c r="AT176" s="24"/>
      <c r="AU176" s="24"/>
      <c r="AV176" s="104"/>
      <c r="BF176" s="105"/>
      <c r="BG176" s="105"/>
    </row>
    <row r="177" spans="35:59">
      <c r="AI177" s="24"/>
      <c r="AJ177" s="104"/>
      <c r="AK177" s="24"/>
      <c r="AL177" s="24"/>
      <c r="AM177" s="24"/>
      <c r="AN177" s="24"/>
      <c r="AO177" s="24"/>
      <c r="AP177" s="104"/>
      <c r="AQ177" s="24"/>
      <c r="AS177" s="24"/>
      <c r="AT177" s="24"/>
      <c r="AU177" s="24"/>
      <c r="AV177" s="104"/>
      <c r="BF177" s="105"/>
      <c r="BG177" s="105"/>
    </row>
    <row r="178" spans="35:59">
      <c r="AI178" s="24"/>
      <c r="AJ178" s="104"/>
      <c r="AK178" s="24"/>
      <c r="AL178" s="24"/>
      <c r="AM178" s="24"/>
      <c r="AN178" s="24"/>
      <c r="AO178" s="24"/>
      <c r="AP178" s="104"/>
      <c r="AQ178" s="24"/>
      <c r="AS178" s="24"/>
      <c r="AT178" s="24"/>
      <c r="AU178" s="24"/>
      <c r="AV178" s="104"/>
      <c r="BF178" s="105"/>
      <c r="BG178" s="105"/>
    </row>
    <row r="179" spans="35:59">
      <c r="AI179" s="24"/>
      <c r="AJ179" s="104"/>
      <c r="AK179" s="24"/>
      <c r="AL179" s="24"/>
      <c r="AM179" s="24"/>
      <c r="AN179" s="24"/>
      <c r="AO179" s="24"/>
      <c r="AP179" s="104"/>
      <c r="AQ179" s="24"/>
      <c r="AS179" s="24"/>
      <c r="AT179" s="24"/>
      <c r="AU179" s="24"/>
      <c r="AV179" s="104"/>
      <c r="BF179" s="105"/>
      <c r="BG179" s="105"/>
    </row>
    <row r="180" spans="35:59">
      <c r="AI180" s="24"/>
      <c r="AJ180" s="104"/>
      <c r="AK180" s="24"/>
      <c r="AL180" s="24"/>
      <c r="AM180" s="24"/>
      <c r="AN180" s="24"/>
      <c r="AO180" s="24"/>
      <c r="AP180" s="104"/>
      <c r="AQ180" s="24"/>
      <c r="AS180" s="24"/>
      <c r="AT180" s="24"/>
      <c r="AU180" s="24"/>
      <c r="AV180" s="104"/>
      <c r="BF180" s="105"/>
      <c r="BG180" s="105"/>
    </row>
    <row r="181" spans="35:59">
      <c r="AI181" s="24"/>
      <c r="AJ181" s="104"/>
      <c r="AK181" s="24"/>
      <c r="AL181" s="24"/>
      <c r="AM181" s="24"/>
      <c r="AN181" s="24"/>
      <c r="AO181" s="24"/>
      <c r="AP181" s="104"/>
      <c r="AQ181" s="24"/>
      <c r="AS181" s="24"/>
      <c r="AT181" s="24"/>
      <c r="AU181" s="24"/>
      <c r="AV181" s="104"/>
      <c r="BF181" s="105"/>
      <c r="BG181" s="105"/>
    </row>
    <row r="182" spans="35:59">
      <c r="AI182" s="24"/>
      <c r="AJ182" s="104"/>
      <c r="AK182" s="24"/>
      <c r="AL182" s="24"/>
      <c r="AM182" s="24"/>
      <c r="AN182" s="24"/>
      <c r="AO182" s="24"/>
      <c r="AP182" s="104"/>
      <c r="AQ182" s="24"/>
      <c r="AS182" s="24"/>
      <c r="AT182" s="24"/>
      <c r="AU182" s="24"/>
      <c r="AV182" s="104"/>
      <c r="BF182" s="105"/>
      <c r="BG182" s="105"/>
    </row>
    <row r="183" spans="35:59">
      <c r="AI183" s="24"/>
      <c r="AJ183" s="104"/>
      <c r="AK183" s="24"/>
      <c r="AL183" s="24"/>
      <c r="AM183" s="24"/>
      <c r="AN183" s="24"/>
      <c r="AO183" s="24"/>
      <c r="AP183" s="104"/>
      <c r="AQ183" s="24"/>
      <c r="AS183" s="24"/>
      <c r="AT183" s="24"/>
      <c r="AU183" s="24"/>
      <c r="AV183" s="104"/>
      <c r="BF183" s="105"/>
      <c r="BG183" s="105"/>
    </row>
    <row r="184" spans="35:59">
      <c r="AI184" s="24"/>
      <c r="AJ184" s="104"/>
      <c r="AK184" s="24"/>
      <c r="AL184" s="24"/>
      <c r="AM184" s="24"/>
      <c r="AN184" s="24"/>
      <c r="AO184" s="24"/>
      <c r="AP184" s="104"/>
      <c r="AQ184" s="24"/>
      <c r="AS184" s="24"/>
      <c r="AT184" s="24"/>
      <c r="AU184" s="24"/>
      <c r="AV184" s="104"/>
      <c r="BF184" s="105"/>
      <c r="BG184" s="105"/>
    </row>
    <row r="185" spans="35:59">
      <c r="AI185" s="24"/>
      <c r="AJ185" s="104"/>
      <c r="AK185" s="24"/>
      <c r="AL185" s="24"/>
      <c r="AM185" s="24"/>
      <c r="AN185" s="24"/>
      <c r="AO185" s="24"/>
      <c r="AP185" s="104"/>
      <c r="AQ185" s="24"/>
      <c r="AS185" s="24"/>
      <c r="AT185" s="24"/>
      <c r="AU185" s="24"/>
      <c r="AV185" s="104"/>
      <c r="BF185" s="105"/>
      <c r="BG185" s="105"/>
    </row>
    <row r="186" spans="35:59">
      <c r="AI186" s="24"/>
      <c r="AJ186" s="104"/>
      <c r="AK186" s="24"/>
      <c r="AL186" s="24"/>
      <c r="AM186" s="24"/>
      <c r="AN186" s="24"/>
      <c r="AO186" s="24"/>
      <c r="AP186" s="104"/>
      <c r="AQ186" s="24"/>
      <c r="AS186" s="24"/>
      <c r="AT186" s="24"/>
      <c r="AU186" s="24"/>
      <c r="AV186" s="104"/>
      <c r="BF186" s="105"/>
      <c r="BG186" s="105"/>
    </row>
    <row r="187" spans="35:59">
      <c r="AI187" s="24"/>
      <c r="AJ187" s="104"/>
      <c r="AK187" s="24"/>
      <c r="AL187" s="24"/>
      <c r="AM187" s="24"/>
      <c r="AN187" s="24"/>
      <c r="AO187" s="24"/>
      <c r="AP187" s="104"/>
      <c r="AQ187" s="24"/>
      <c r="AS187" s="24"/>
      <c r="AT187" s="24"/>
      <c r="AU187" s="24"/>
      <c r="AV187" s="104"/>
      <c r="BF187" s="105"/>
      <c r="BG187" s="105"/>
    </row>
    <row r="188" spans="35:59">
      <c r="AI188" s="24"/>
      <c r="AJ188" s="104"/>
      <c r="AK188" s="24"/>
      <c r="AL188" s="24"/>
      <c r="AM188" s="24"/>
      <c r="AN188" s="24"/>
      <c r="AO188" s="24"/>
      <c r="AP188" s="104"/>
      <c r="AQ188" s="24"/>
      <c r="AS188" s="24"/>
      <c r="AT188" s="24"/>
      <c r="AU188" s="24"/>
      <c r="AV188" s="104"/>
      <c r="BF188" s="105"/>
      <c r="BG188" s="105"/>
    </row>
    <row r="189" spans="35:59">
      <c r="AI189" s="24"/>
      <c r="AJ189" s="104"/>
      <c r="AK189" s="24"/>
      <c r="AL189" s="24"/>
      <c r="AM189" s="24"/>
      <c r="AN189" s="24"/>
      <c r="AO189" s="24"/>
      <c r="AP189" s="104"/>
      <c r="AQ189" s="24"/>
      <c r="AS189" s="24"/>
      <c r="AT189" s="24"/>
      <c r="AU189" s="24"/>
      <c r="AV189" s="104"/>
      <c r="BF189" s="105"/>
      <c r="BG189" s="105"/>
    </row>
    <row r="190" spans="35:59">
      <c r="AI190" s="24"/>
      <c r="AJ190" s="104"/>
      <c r="AK190" s="24"/>
      <c r="AL190" s="24"/>
      <c r="AM190" s="24"/>
      <c r="AN190" s="24"/>
      <c r="AO190" s="24"/>
      <c r="AP190" s="104"/>
      <c r="AQ190" s="24"/>
      <c r="AS190" s="24"/>
      <c r="AT190" s="24"/>
      <c r="AU190" s="24"/>
      <c r="AV190" s="104"/>
      <c r="BF190" s="105"/>
      <c r="BG190" s="105"/>
    </row>
    <row r="191" spans="35:59">
      <c r="AI191" s="108"/>
      <c r="AJ191" s="104"/>
      <c r="AK191" s="108"/>
      <c r="AL191" s="108"/>
      <c r="AM191" s="108"/>
      <c r="AN191" s="108"/>
      <c r="AO191" s="108"/>
      <c r="AP191" s="104"/>
      <c r="AQ191" s="108"/>
      <c r="AS191" s="108"/>
      <c r="AT191" s="108"/>
      <c r="AU191" s="108"/>
      <c r="AV191" s="104"/>
      <c r="BF191" s="105"/>
      <c r="BG191" s="105"/>
    </row>
    <row r="192" spans="35:59">
      <c r="AI192" s="108"/>
      <c r="AJ192" s="104"/>
      <c r="AK192" s="108"/>
      <c r="AL192" s="108"/>
      <c r="AM192" s="108"/>
      <c r="AN192" s="108"/>
      <c r="AO192" s="108"/>
      <c r="AP192" s="104"/>
      <c r="AQ192" s="108"/>
      <c r="AS192" s="108"/>
      <c r="AT192" s="108"/>
      <c r="AU192" s="108"/>
      <c r="AV192" s="104"/>
      <c r="BF192" s="105"/>
      <c r="BG192" s="105"/>
    </row>
    <row r="193" spans="35:59">
      <c r="AI193" s="24"/>
      <c r="AJ193" s="104"/>
      <c r="AK193" s="24"/>
      <c r="AL193" s="24"/>
      <c r="AM193" s="24"/>
      <c r="AN193" s="24"/>
      <c r="AO193" s="24"/>
      <c r="AP193" s="104"/>
      <c r="AQ193" s="24"/>
      <c r="AS193" s="24"/>
      <c r="AT193" s="24"/>
      <c r="AU193" s="24"/>
      <c r="AV193" s="104"/>
      <c r="BF193" s="105"/>
      <c r="BG193" s="105"/>
    </row>
    <row r="194" spans="35:59">
      <c r="AI194" s="24"/>
      <c r="AJ194" s="104"/>
      <c r="AK194" s="24"/>
      <c r="AL194" s="24"/>
      <c r="AM194" s="24"/>
      <c r="AN194" s="24"/>
      <c r="AO194" s="24"/>
      <c r="AP194" s="104"/>
      <c r="AQ194" s="24"/>
      <c r="AS194" s="24"/>
      <c r="AT194" s="24"/>
      <c r="AU194" s="24"/>
      <c r="AV194" s="104"/>
      <c r="BF194" s="105"/>
      <c r="BG194" s="105"/>
    </row>
    <row r="195" spans="35:59">
      <c r="AI195" s="24"/>
      <c r="AJ195" s="104"/>
      <c r="AK195" s="24"/>
      <c r="AL195" s="24"/>
      <c r="AM195" s="24"/>
      <c r="AN195" s="24"/>
      <c r="AO195" s="24"/>
      <c r="AP195" s="104"/>
      <c r="AQ195" s="24"/>
      <c r="AS195" s="24"/>
      <c r="AT195" s="24"/>
      <c r="AU195" s="24"/>
      <c r="AV195" s="104"/>
      <c r="BF195" s="105"/>
      <c r="BG195" s="105"/>
    </row>
    <row r="196" spans="35:59">
      <c r="AI196" s="24"/>
      <c r="AJ196" s="104"/>
      <c r="AK196" s="24"/>
      <c r="AL196" s="24"/>
      <c r="AM196" s="24"/>
      <c r="AN196" s="24"/>
      <c r="AO196" s="24"/>
      <c r="AP196" s="104"/>
      <c r="AQ196" s="24"/>
      <c r="AS196" s="24"/>
      <c r="AT196" s="24"/>
      <c r="AU196" s="24"/>
      <c r="AV196" s="104"/>
      <c r="BF196" s="105"/>
      <c r="BG196" s="105"/>
    </row>
    <row r="197" spans="35:59">
      <c r="AI197" s="24"/>
      <c r="AJ197" s="104"/>
      <c r="AK197" s="24"/>
      <c r="AL197" s="24"/>
      <c r="AM197" s="24"/>
      <c r="AN197" s="24"/>
      <c r="AO197" s="24"/>
      <c r="AP197" s="104"/>
      <c r="AQ197" s="24"/>
      <c r="AS197" s="24"/>
      <c r="AT197" s="24"/>
      <c r="AU197" s="24"/>
      <c r="AV197" s="104"/>
      <c r="BF197" s="105"/>
      <c r="BG197" s="105"/>
    </row>
    <row r="198" spans="35:59">
      <c r="AI198" s="24"/>
      <c r="AJ198" s="104"/>
      <c r="AK198" s="24"/>
      <c r="AL198" s="24"/>
      <c r="AM198" s="24"/>
      <c r="AN198" s="24"/>
      <c r="AO198" s="24"/>
      <c r="AP198" s="104"/>
      <c r="AQ198" s="24"/>
      <c r="AS198" s="24"/>
      <c r="AT198" s="24"/>
      <c r="AU198" s="24"/>
      <c r="AV198" s="104"/>
      <c r="BF198" s="105"/>
      <c r="BG198" s="105"/>
    </row>
    <row r="199" spans="35:59">
      <c r="AI199" s="24"/>
      <c r="AJ199" s="104"/>
      <c r="AK199" s="24"/>
      <c r="AL199" s="24"/>
      <c r="AM199" s="24"/>
      <c r="AN199" s="24"/>
      <c r="AO199" s="24"/>
      <c r="AP199" s="104"/>
      <c r="AQ199" s="24"/>
      <c r="AS199" s="24"/>
      <c r="AT199" s="24"/>
      <c r="AU199" s="24"/>
      <c r="AV199" s="104"/>
      <c r="BF199" s="105"/>
      <c r="BG199" s="105"/>
    </row>
    <row r="200" spans="35:59">
      <c r="AI200" s="24"/>
      <c r="AJ200" s="104"/>
      <c r="AK200" s="24"/>
      <c r="AL200" s="24"/>
      <c r="AM200" s="24"/>
      <c r="AN200" s="24"/>
      <c r="AO200" s="24"/>
      <c r="AP200" s="104"/>
      <c r="AQ200" s="24"/>
      <c r="AS200" s="24"/>
      <c r="AT200" s="24"/>
      <c r="AU200" s="24"/>
      <c r="AV200" s="104"/>
      <c r="BF200" s="105"/>
      <c r="BG200" s="105"/>
    </row>
    <row r="201" spans="35:59">
      <c r="AI201" s="24"/>
      <c r="AJ201" s="104"/>
      <c r="AK201" s="24"/>
      <c r="AL201" s="24"/>
      <c r="AM201" s="24"/>
      <c r="AN201" s="24"/>
      <c r="AO201" s="24"/>
      <c r="AP201" s="104"/>
      <c r="AQ201" s="24"/>
      <c r="AS201" s="24"/>
      <c r="AT201" s="24"/>
      <c r="AU201" s="24"/>
      <c r="AV201" s="104"/>
      <c r="BF201" s="105"/>
      <c r="BG201" s="105"/>
    </row>
    <row r="202" spans="35:59">
      <c r="AI202" s="24"/>
      <c r="AJ202" s="104"/>
      <c r="AK202" s="24"/>
      <c r="AL202" s="24"/>
      <c r="AM202" s="24"/>
      <c r="AN202" s="24"/>
      <c r="AO202" s="24"/>
      <c r="AP202" s="104"/>
      <c r="AQ202" s="24"/>
      <c r="AS202" s="24"/>
      <c r="AT202" s="24"/>
      <c r="AU202" s="24"/>
      <c r="AV202" s="104"/>
      <c r="BF202" s="105"/>
      <c r="BG202" s="105"/>
    </row>
    <row r="203" spans="35:59">
      <c r="AI203" s="24"/>
      <c r="AJ203" s="104"/>
      <c r="AK203" s="24"/>
      <c r="AL203" s="24"/>
      <c r="AM203" s="24"/>
      <c r="AN203" s="24"/>
      <c r="AO203" s="24"/>
      <c r="AP203" s="104"/>
      <c r="AQ203" s="24"/>
      <c r="AS203" s="24"/>
      <c r="AT203" s="24"/>
      <c r="AU203" s="24"/>
      <c r="AV203" s="104"/>
      <c r="BF203" s="105"/>
      <c r="BG203" s="105"/>
    </row>
    <row r="204" spans="35:59">
      <c r="AI204" s="24"/>
      <c r="AJ204" s="104"/>
      <c r="AK204" s="24"/>
      <c r="AL204" s="24"/>
      <c r="AM204" s="24"/>
      <c r="AN204" s="24"/>
      <c r="AO204" s="24"/>
      <c r="AP204" s="104"/>
      <c r="AQ204" s="24"/>
      <c r="AS204" s="24"/>
      <c r="AT204" s="24"/>
      <c r="AU204" s="24"/>
      <c r="AV204" s="104"/>
      <c r="BF204" s="105"/>
      <c r="BG204" s="105"/>
    </row>
    <row r="205" spans="35:59">
      <c r="AI205" s="24"/>
      <c r="AJ205" s="104"/>
      <c r="AK205" s="24"/>
      <c r="AL205" s="24"/>
      <c r="AM205" s="24"/>
      <c r="AN205" s="24"/>
      <c r="AO205" s="24"/>
      <c r="AP205" s="104"/>
      <c r="AQ205" s="24"/>
      <c r="AS205" s="24"/>
      <c r="AT205" s="24"/>
      <c r="AU205" s="24"/>
      <c r="AV205" s="104"/>
      <c r="BF205" s="105"/>
      <c r="BG205" s="105"/>
    </row>
    <row r="206" spans="35:59">
      <c r="AI206" s="108"/>
      <c r="AJ206" s="104"/>
      <c r="AK206" s="108"/>
      <c r="AL206" s="108"/>
      <c r="AM206" s="108"/>
      <c r="AN206" s="108"/>
      <c r="AO206" s="108"/>
      <c r="AP206" s="104"/>
      <c r="AQ206" s="108"/>
      <c r="AS206" s="108"/>
      <c r="AT206" s="108"/>
      <c r="AU206" s="108"/>
      <c r="AV206" s="104"/>
      <c r="BF206" s="105"/>
      <c r="BG206" s="105"/>
    </row>
    <row r="207" spans="35:59">
      <c r="AI207" s="24"/>
      <c r="AJ207" s="104"/>
      <c r="AK207" s="24"/>
      <c r="AL207" s="24"/>
      <c r="AM207" s="24"/>
      <c r="AN207" s="24"/>
      <c r="AO207" s="24"/>
      <c r="AP207" s="104"/>
      <c r="AQ207" s="24"/>
      <c r="AS207" s="24"/>
      <c r="AT207" s="24"/>
      <c r="AU207" s="24"/>
      <c r="AV207" s="104"/>
      <c r="BF207" s="105"/>
      <c r="BG207" s="105"/>
    </row>
    <row r="208" spans="35:59">
      <c r="AI208" s="108"/>
      <c r="AJ208" s="104"/>
      <c r="AK208" s="108"/>
      <c r="AL208" s="108"/>
      <c r="AM208" s="108"/>
      <c r="AN208" s="108"/>
      <c r="AO208" s="108"/>
      <c r="AP208" s="104"/>
      <c r="AQ208" s="108"/>
      <c r="AS208" s="108"/>
      <c r="AT208" s="108"/>
      <c r="AU208" s="108"/>
      <c r="AV208" s="104"/>
      <c r="BF208" s="105"/>
      <c r="BG208" s="105"/>
    </row>
    <row r="209" spans="35:59">
      <c r="AI209" s="24"/>
      <c r="AJ209" s="104"/>
      <c r="AK209" s="24"/>
      <c r="AL209" s="24"/>
      <c r="AM209" s="24"/>
      <c r="AN209" s="24"/>
      <c r="AO209" s="24"/>
      <c r="AP209" s="104"/>
      <c r="AQ209" s="24"/>
      <c r="AS209" s="24"/>
      <c r="AT209" s="24"/>
      <c r="AU209" s="24"/>
      <c r="AV209" s="104"/>
      <c r="BF209" s="105"/>
      <c r="BG209" s="105"/>
    </row>
    <row r="210" spans="35:59">
      <c r="AI210" s="24"/>
      <c r="AJ210" s="104"/>
      <c r="AK210" s="24"/>
      <c r="AL210" s="24"/>
      <c r="AM210" s="24"/>
      <c r="AN210" s="24"/>
      <c r="AO210" s="24"/>
      <c r="AP210" s="104"/>
      <c r="AQ210" s="24"/>
      <c r="AS210" s="24"/>
      <c r="AT210" s="24"/>
      <c r="AU210" s="24"/>
      <c r="AV210" s="104"/>
      <c r="BF210" s="105"/>
      <c r="BG210" s="105"/>
    </row>
    <row r="211" spans="35:59">
      <c r="AI211" s="24"/>
      <c r="AJ211" s="104"/>
      <c r="AK211" s="24"/>
      <c r="AL211" s="24"/>
      <c r="AM211" s="24"/>
      <c r="AN211" s="24"/>
      <c r="AO211" s="24"/>
      <c r="AP211" s="104"/>
      <c r="AQ211" s="24"/>
      <c r="AS211" s="24"/>
      <c r="AT211" s="24"/>
      <c r="AU211" s="24"/>
      <c r="AV211" s="104"/>
      <c r="BF211" s="105"/>
      <c r="BG211" s="105"/>
    </row>
    <row r="212" spans="35:59">
      <c r="AI212" s="24"/>
      <c r="AJ212" s="104"/>
      <c r="AK212" s="24"/>
      <c r="AL212" s="24"/>
      <c r="AM212" s="24"/>
      <c r="AN212" s="24"/>
      <c r="AO212" s="24"/>
      <c r="AP212" s="104"/>
      <c r="AQ212" s="24"/>
      <c r="AS212" s="24"/>
      <c r="AT212" s="24"/>
      <c r="AU212" s="24"/>
      <c r="AV212" s="104"/>
      <c r="BF212" s="105"/>
      <c r="BG212" s="105"/>
    </row>
    <row r="213" spans="35:59">
      <c r="AI213" s="24"/>
      <c r="AJ213" s="104"/>
      <c r="AK213" s="24"/>
      <c r="AL213" s="24"/>
      <c r="AM213" s="24"/>
      <c r="AN213" s="24"/>
      <c r="AO213" s="24"/>
      <c r="AP213" s="104"/>
      <c r="AQ213" s="24"/>
      <c r="AS213" s="24"/>
      <c r="AT213" s="24"/>
      <c r="AU213" s="24"/>
      <c r="AV213" s="104"/>
      <c r="BF213" s="105"/>
      <c r="BG213" s="105"/>
    </row>
    <row r="214" spans="35:59">
      <c r="AI214" s="24"/>
      <c r="AJ214" s="104"/>
      <c r="AK214" s="24"/>
      <c r="AL214" s="24"/>
      <c r="AM214" s="24"/>
      <c r="AN214" s="24"/>
      <c r="AO214" s="24"/>
      <c r="AP214" s="104"/>
      <c r="AQ214" s="24"/>
      <c r="AS214" s="24"/>
      <c r="AT214" s="24"/>
      <c r="AU214" s="24"/>
      <c r="AV214" s="104"/>
      <c r="BF214" s="105"/>
      <c r="BG214" s="105"/>
    </row>
    <row r="215" spans="35:59">
      <c r="AI215" s="24"/>
      <c r="AJ215" s="104"/>
      <c r="AK215" s="24"/>
      <c r="AL215" s="24"/>
      <c r="AM215" s="24"/>
      <c r="AN215" s="24"/>
      <c r="AO215" s="24"/>
      <c r="AP215" s="104"/>
      <c r="AQ215" s="24"/>
      <c r="AS215" s="24"/>
      <c r="AT215" s="24"/>
      <c r="AU215" s="24"/>
      <c r="AV215" s="104"/>
      <c r="BF215" s="105"/>
      <c r="BG215" s="105"/>
    </row>
    <row r="216" spans="35:59">
      <c r="AI216" s="24"/>
      <c r="AJ216" s="104"/>
      <c r="AK216" s="24"/>
      <c r="AL216" s="24"/>
      <c r="AM216" s="24"/>
      <c r="AN216" s="24"/>
      <c r="AO216" s="24"/>
      <c r="AP216" s="104"/>
      <c r="AQ216" s="24"/>
      <c r="AS216" s="24"/>
      <c r="AT216" s="24"/>
      <c r="AU216" s="24"/>
      <c r="AV216" s="104"/>
      <c r="BF216" s="105"/>
      <c r="BG216" s="105"/>
    </row>
    <row r="217" spans="35:59">
      <c r="AI217" s="24"/>
      <c r="AJ217" s="104"/>
      <c r="AK217" s="24"/>
      <c r="AL217" s="24"/>
      <c r="AM217" s="24"/>
      <c r="AN217" s="24"/>
      <c r="AO217" s="24"/>
      <c r="AP217" s="104"/>
      <c r="AQ217" s="24"/>
      <c r="AS217" s="24"/>
      <c r="AT217" s="24"/>
      <c r="AU217" s="24"/>
      <c r="AV217" s="104"/>
      <c r="BF217" s="105"/>
      <c r="BG217" s="105"/>
    </row>
    <row r="218" spans="35:59">
      <c r="AI218" s="24"/>
      <c r="AJ218" s="104"/>
      <c r="AK218" s="24"/>
      <c r="AL218" s="24"/>
      <c r="AM218" s="24"/>
      <c r="AN218" s="24"/>
      <c r="AO218" s="24"/>
      <c r="AP218" s="104"/>
      <c r="AQ218" s="24"/>
      <c r="AS218" s="24"/>
      <c r="AT218" s="24"/>
      <c r="AU218" s="24"/>
      <c r="AV218" s="104"/>
      <c r="BF218" s="105"/>
      <c r="BG218" s="105"/>
    </row>
    <row r="219" spans="35:59">
      <c r="AI219" s="24"/>
      <c r="AJ219" s="104"/>
      <c r="AK219" s="24"/>
      <c r="AL219" s="24"/>
      <c r="AM219" s="24"/>
      <c r="AN219" s="24"/>
      <c r="AO219" s="24"/>
      <c r="AP219" s="104"/>
      <c r="AQ219" s="24"/>
      <c r="AS219" s="24"/>
      <c r="AT219" s="24"/>
      <c r="AU219" s="24"/>
      <c r="AV219" s="104"/>
      <c r="BF219" s="105"/>
      <c r="BG219" s="105"/>
    </row>
    <row r="220" spans="35:59">
      <c r="AI220" s="24"/>
      <c r="AJ220" s="104"/>
      <c r="AK220" s="24"/>
      <c r="AL220" s="24"/>
      <c r="AM220" s="24"/>
      <c r="AN220" s="24"/>
      <c r="AO220" s="24"/>
      <c r="AP220" s="104"/>
      <c r="AQ220" s="24"/>
      <c r="AS220" s="24"/>
      <c r="AT220" s="24"/>
      <c r="AU220" s="24"/>
      <c r="AV220" s="104"/>
      <c r="BF220" s="105"/>
      <c r="BG220" s="105"/>
    </row>
    <row r="221" spans="35:59">
      <c r="AI221" s="24"/>
      <c r="AJ221" s="104"/>
      <c r="AK221" s="24"/>
      <c r="AL221" s="24"/>
      <c r="AM221" s="24"/>
      <c r="AN221" s="24"/>
      <c r="AO221" s="24"/>
      <c r="AP221" s="104"/>
      <c r="AQ221" s="24"/>
      <c r="AS221" s="24"/>
      <c r="AT221" s="24"/>
      <c r="AU221" s="24"/>
      <c r="AV221" s="104"/>
      <c r="BF221" s="105"/>
      <c r="BG221" s="105"/>
    </row>
    <row r="222" spans="35:59">
      <c r="AI222" s="24"/>
      <c r="AJ222" s="104"/>
      <c r="AK222" s="24"/>
      <c r="AL222" s="24"/>
      <c r="AM222" s="24"/>
      <c r="AN222" s="24"/>
      <c r="AO222" s="24"/>
      <c r="AP222" s="104"/>
      <c r="AQ222" s="24"/>
      <c r="AS222" s="24"/>
      <c r="AT222" s="24"/>
      <c r="AU222" s="24"/>
      <c r="AV222" s="104"/>
      <c r="BF222" s="105"/>
      <c r="BG222" s="105"/>
    </row>
    <row r="223" spans="35:59">
      <c r="AI223" s="24"/>
      <c r="AJ223" s="104"/>
      <c r="AK223" s="24"/>
      <c r="AL223" s="24"/>
      <c r="AM223" s="24"/>
      <c r="AN223" s="24"/>
      <c r="AO223" s="24"/>
      <c r="AP223" s="104"/>
      <c r="AQ223" s="24"/>
      <c r="AS223" s="24"/>
      <c r="AT223" s="24"/>
      <c r="AU223" s="24"/>
      <c r="AV223" s="104"/>
      <c r="BF223" s="105"/>
      <c r="BG223" s="105"/>
    </row>
    <row r="224" spans="35:59">
      <c r="AI224" s="24"/>
      <c r="AJ224" s="104"/>
      <c r="AK224" s="24"/>
      <c r="AL224" s="24"/>
      <c r="AM224" s="24"/>
      <c r="AN224" s="24"/>
      <c r="AO224" s="24"/>
      <c r="AP224" s="104"/>
      <c r="AQ224" s="24"/>
      <c r="AS224" s="24"/>
      <c r="AT224" s="24"/>
      <c r="AU224" s="24"/>
      <c r="AV224" s="104"/>
      <c r="BF224" s="105"/>
      <c r="BG224" s="105"/>
    </row>
    <row r="225" spans="35:59">
      <c r="AI225" s="24"/>
      <c r="AJ225" s="104"/>
      <c r="AK225" s="24"/>
      <c r="AL225" s="24"/>
      <c r="AM225" s="24"/>
      <c r="AN225" s="24"/>
      <c r="AO225" s="24"/>
      <c r="AP225" s="104"/>
      <c r="AQ225" s="24"/>
      <c r="AS225" s="24"/>
      <c r="AT225" s="24"/>
      <c r="AU225" s="24"/>
      <c r="AV225" s="104"/>
      <c r="BF225" s="105"/>
      <c r="BG225" s="105"/>
    </row>
    <row r="226" spans="35:59">
      <c r="AI226" s="24"/>
      <c r="AJ226" s="104"/>
      <c r="AK226" s="24"/>
      <c r="AL226" s="24"/>
      <c r="AM226" s="24"/>
      <c r="AN226" s="24"/>
      <c r="AO226" s="24"/>
      <c r="AP226" s="104"/>
      <c r="AQ226" s="24"/>
      <c r="AS226" s="24"/>
      <c r="AT226" s="24"/>
      <c r="AU226" s="24"/>
      <c r="AV226" s="104"/>
      <c r="BF226" s="105"/>
      <c r="BG226" s="105"/>
    </row>
    <row r="227" spans="35:59">
      <c r="AI227" s="24"/>
      <c r="AJ227" s="104"/>
      <c r="AK227" s="24"/>
      <c r="AL227" s="24"/>
      <c r="AM227" s="24"/>
      <c r="AN227" s="24"/>
      <c r="AO227" s="24"/>
      <c r="AP227" s="104"/>
      <c r="AQ227" s="24"/>
      <c r="AS227" s="24"/>
      <c r="AT227" s="24"/>
      <c r="AU227" s="24"/>
      <c r="AV227" s="104"/>
      <c r="BF227" s="105"/>
      <c r="BG227" s="105"/>
    </row>
    <row r="228" spans="35:59">
      <c r="AI228" s="24"/>
      <c r="AJ228" s="104"/>
      <c r="AK228" s="24"/>
      <c r="AL228" s="24"/>
      <c r="AM228" s="24"/>
      <c r="AN228" s="24"/>
      <c r="AO228" s="24"/>
      <c r="AP228" s="104"/>
      <c r="AQ228" s="24"/>
      <c r="AS228" s="24"/>
      <c r="AT228" s="24"/>
      <c r="AU228" s="24"/>
      <c r="AV228" s="104"/>
      <c r="BF228" s="105"/>
      <c r="BG228" s="105"/>
    </row>
    <row r="229" spans="35:59">
      <c r="AI229" s="24"/>
      <c r="AJ229" s="104"/>
      <c r="AK229" s="24"/>
      <c r="AL229" s="24"/>
      <c r="AM229" s="24"/>
      <c r="AN229" s="24"/>
      <c r="AO229" s="24"/>
      <c r="AP229" s="104"/>
      <c r="AQ229" s="24"/>
      <c r="AS229" s="24"/>
      <c r="AT229" s="24"/>
      <c r="AU229" s="24"/>
      <c r="AV229" s="104"/>
      <c r="BF229" s="105"/>
      <c r="BG229" s="105"/>
    </row>
    <row r="230" spans="35:59">
      <c r="AI230" s="24"/>
      <c r="AJ230" s="104"/>
      <c r="AK230" s="24"/>
      <c r="AL230" s="24"/>
      <c r="AM230" s="24"/>
      <c r="AN230" s="24"/>
      <c r="AO230" s="24"/>
      <c r="AP230" s="104"/>
      <c r="AQ230" s="24"/>
      <c r="AS230" s="24"/>
      <c r="AT230" s="24"/>
      <c r="AU230" s="24"/>
      <c r="AV230" s="104"/>
      <c r="BF230" s="105"/>
      <c r="BG230" s="105"/>
    </row>
    <row r="231" spans="35:59">
      <c r="AI231" s="24"/>
      <c r="AJ231" s="104"/>
      <c r="AK231" s="24"/>
      <c r="AL231" s="24"/>
      <c r="AM231" s="24"/>
      <c r="AN231" s="24"/>
      <c r="AO231" s="24"/>
      <c r="AP231" s="104"/>
      <c r="AQ231" s="24"/>
      <c r="AS231" s="24"/>
      <c r="AT231" s="24"/>
      <c r="AU231" s="24"/>
      <c r="AV231" s="104"/>
      <c r="BF231" s="105"/>
      <c r="BG231" s="105"/>
    </row>
    <row r="232" spans="35:59">
      <c r="AI232" s="24"/>
      <c r="AJ232" s="104"/>
      <c r="AK232" s="24"/>
      <c r="AL232" s="24"/>
      <c r="AM232" s="24"/>
      <c r="AN232" s="24"/>
      <c r="AO232" s="24"/>
      <c r="AP232" s="104"/>
      <c r="AQ232" s="24"/>
      <c r="AS232" s="24"/>
      <c r="AT232" s="24"/>
      <c r="AU232" s="24"/>
      <c r="AV232" s="104"/>
      <c r="BF232" s="105"/>
      <c r="BG232" s="105"/>
    </row>
    <row r="233" spans="35:59">
      <c r="AI233" s="24"/>
      <c r="AJ233" s="104"/>
      <c r="AK233" s="24"/>
      <c r="AL233" s="24"/>
      <c r="AM233" s="24"/>
      <c r="AN233" s="24"/>
      <c r="AO233" s="24"/>
      <c r="AP233" s="104"/>
      <c r="AQ233" s="24"/>
      <c r="AS233" s="24"/>
      <c r="AT233" s="24"/>
      <c r="AU233" s="24"/>
      <c r="AV233" s="104"/>
      <c r="BF233" s="105"/>
      <c r="BG233" s="105"/>
    </row>
    <row r="234" spans="35:59">
      <c r="AI234" s="24"/>
      <c r="AJ234" s="104"/>
      <c r="AK234" s="24"/>
      <c r="AL234" s="24"/>
      <c r="AM234" s="24"/>
      <c r="AN234" s="24"/>
      <c r="AO234" s="24"/>
      <c r="AP234" s="104"/>
      <c r="AQ234" s="24"/>
      <c r="AS234" s="24"/>
      <c r="AT234" s="24"/>
      <c r="AU234" s="24"/>
      <c r="AV234" s="104"/>
      <c r="BF234" s="105"/>
      <c r="BG234" s="105"/>
    </row>
    <row r="235" spans="35:59">
      <c r="AI235" s="24"/>
      <c r="AJ235" s="104"/>
      <c r="AK235" s="24"/>
      <c r="AL235" s="24"/>
      <c r="AM235" s="24"/>
      <c r="AN235" s="24"/>
      <c r="AO235" s="24"/>
      <c r="AP235" s="104"/>
      <c r="AQ235" s="24"/>
      <c r="AS235" s="24"/>
      <c r="AT235" s="24"/>
      <c r="AU235" s="24"/>
      <c r="AV235" s="104"/>
      <c r="BF235" s="105"/>
      <c r="BG235" s="105"/>
    </row>
    <row r="236" spans="35:59">
      <c r="AI236" s="24"/>
      <c r="AJ236" s="104"/>
      <c r="AK236" s="24"/>
      <c r="AL236" s="24"/>
      <c r="AM236" s="24"/>
      <c r="AN236" s="24"/>
      <c r="AO236" s="24"/>
      <c r="AP236" s="104"/>
      <c r="AQ236" s="24"/>
      <c r="AS236" s="24"/>
      <c r="AT236" s="24"/>
      <c r="AU236" s="24"/>
      <c r="AV236" s="104"/>
      <c r="BF236" s="105"/>
      <c r="BG236" s="105"/>
    </row>
    <row r="237" spans="35:59">
      <c r="AI237" s="24"/>
      <c r="AJ237" s="104"/>
      <c r="AK237" s="24"/>
      <c r="AL237" s="24"/>
      <c r="AM237" s="24"/>
      <c r="AN237" s="24"/>
      <c r="AO237" s="24"/>
      <c r="AP237" s="104"/>
      <c r="AQ237" s="24"/>
      <c r="AS237" s="24"/>
      <c r="AT237" s="24"/>
      <c r="AU237" s="24"/>
      <c r="AV237" s="104"/>
      <c r="BF237" s="105"/>
      <c r="BG237" s="105"/>
    </row>
    <row r="238" spans="35:59">
      <c r="AI238" s="24"/>
      <c r="AJ238" s="104"/>
      <c r="AK238" s="24"/>
      <c r="AL238" s="24"/>
      <c r="AM238" s="24"/>
      <c r="AN238" s="24"/>
      <c r="AO238" s="24"/>
      <c r="AP238" s="104"/>
      <c r="AQ238" s="24"/>
      <c r="AS238" s="24"/>
      <c r="AT238" s="24"/>
      <c r="AU238" s="24"/>
      <c r="AV238" s="104"/>
      <c r="BF238" s="105"/>
      <c r="BG238" s="105"/>
    </row>
    <row r="239" spans="35:59">
      <c r="AI239" s="24"/>
      <c r="AJ239" s="104"/>
      <c r="AK239" s="24"/>
      <c r="AL239" s="24"/>
      <c r="AM239" s="24"/>
      <c r="AN239" s="24"/>
      <c r="AO239" s="24"/>
      <c r="AP239" s="104"/>
      <c r="AQ239" s="24"/>
      <c r="AS239" s="24"/>
      <c r="AT239" s="24"/>
      <c r="AU239" s="24"/>
      <c r="AV239" s="104"/>
      <c r="BF239" s="105"/>
      <c r="BG239" s="105"/>
    </row>
    <row r="240" spans="35:59">
      <c r="AI240" s="24"/>
      <c r="AJ240" s="104"/>
      <c r="AK240" s="24"/>
      <c r="AL240" s="24"/>
      <c r="AM240" s="24"/>
      <c r="AN240" s="24"/>
      <c r="AO240" s="24"/>
      <c r="AP240" s="104"/>
      <c r="AQ240" s="24"/>
      <c r="AS240" s="24"/>
      <c r="AT240" s="24"/>
      <c r="AU240" s="24"/>
      <c r="AV240" s="104"/>
      <c r="BF240" s="105"/>
      <c r="BG240" s="105"/>
    </row>
    <row r="241" spans="35:59">
      <c r="AI241" s="24"/>
      <c r="AJ241" s="104"/>
      <c r="AK241" s="24"/>
      <c r="AL241" s="24"/>
      <c r="AM241" s="24"/>
      <c r="AN241" s="24"/>
      <c r="AO241" s="24"/>
      <c r="AP241" s="104"/>
      <c r="AQ241" s="24"/>
      <c r="AS241" s="24"/>
      <c r="AT241" s="24"/>
      <c r="AU241" s="24"/>
      <c r="AV241" s="104"/>
      <c r="BF241" s="105"/>
      <c r="BG241" s="105"/>
    </row>
    <row r="242" spans="35:59">
      <c r="AI242" s="24"/>
      <c r="AJ242" s="104"/>
      <c r="AK242" s="24"/>
      <c r="AL242" s="24"/>
      <c r="AM242" s="24"/>
      <c r="AN242" s="24"/>
      <c r="AO242" s="24"/>
      <c r="AP242" s="104"/>
      <c r="AQ242" s="24"/>
      <c r="AS242" s="24"/>
      <c r="AT242" s="24"/>
      <c r="AU242" s="24"/>
      <c r="AV242" s="104"/>
      <c r="BF242" s="105"/>
      <c r="BG242" s="105"/>
    </row>
    <row r="243" spans="35:59">
      <c r="AI243" s="24"/>
      <c r="AJ243" s="104"/>
      <c r="AK243" s="24"/>
      <c r="AL243" s="24"/>
      <c r="AM243" s="24"/>
      <c r="AN243" s="24"/>
      <c r="AO243" s="24"/>
      <c r="AP243" s="104"/>
      <c r="AQ243" s="24"/>
      <c r="AS243" s="24"/>
      <c r="AT243" s="24"/>
      <c r="AU243" s="24"/>
      <c r="AV243" s="104"/>
      <c r="BF243" s="105"/>
      <c r="BG243" s="105"/>
    </row>
    <row r="244" spans="35:59">
      <c r="AI244" s="24"/>
      <c r="AJ244" s="104"/>
      <c r="AK244" s="24"/>
      <c r="AL244" s="24"/>
      <c r="AM244" s="24"/>
      <c r="AN244" s="24"/>
      <c r="AO244" s="24"/>
      <c r="AP244" s="104"/>
      <c r="AQ244" s="24"/>
      <c r="AS244" s="24"/>
      <c r="AT244" s="24"/>
      <c r="AU244" s="24"/>
      <c r="AV244" s="104"/>
      <c r="BF244" s="105"/>
      <c r="BG244" s="105"/>
    </row>
    <row r="245" spans="35:59">
      <c r="AI245" s="24"/>
      <c r="AJ245" s="104"/>
      <c r="AK245" s="24"/>
      <c r="AL245" s="24"/>
      <c r="AM245" s="24"/>
      <c r="AN245" s="24"/>
      <c r="AO245" s="24"/>
      <c r="AP245" s="104"/>
      <c r="AQ245" s="24"/>
      <c r="AS245" s="24"/>
      <c r="AT245" s="24"/>
      <c r="AU245" s="24"/>
      <c r="AV245" s="104"/>
      <c r="BF245" s="105"/>
      <c r="BG245" s="105"/>
    </row>
    <row r="246" spans="35:59">
      <c r="AI246" s="24"/>
      <c r="AJ246" s="104"/>
      <c r="AK246" s="24"/>
      <c r="AL246" s="24"/>
      <c r="AM246" s="24"/>
      <c r="AN246" s="24"/>
      <c r="AO246" s="24"/>
      <c r="AP246" s="104"/>
      <c r="AQ246" s="24"/>
      <c r="AS246" s="24"/>
      <c r="AT246" s="24"/>
      <c r="AU246" s="24"/>
      <c r="AV246" s="104"/>
      <c r="BF246" s="105"/>
      <c r="BG246" s="105"/>
    </row>
    <row r="247" spans="35:59">
      <c r="AI247" s="24"/>
      <c r="AJ247" s="104"/>
      <c r="AK247" s="24"/>
      <c r="AL247" s="24"/>
      <c r="AM247" s="24"/>
      <c r="AN247" s="24"/>
      <c r="AO247" s="24"/>
      <c r="AP247" s="104"/>
      <c r="AQ247" s="24"/>
      <c r="AS247" s="24"/>
      <c r="AT247" s="24"/>
      <c r="AU247" s="24"/>
      <c r="AV247" s="104"/>
      <c r="BF247" s="105"/>
      <c r="BG247" s="105"/>
    </row>
    <row r="248" spans="35:59">
      <c r="AI248" s="24"/>
      <c r="AJ248" s="104"/>
      <c r="AK248" s="24"/>
      <c r="AL248" s="24"/>
      <c r="AM248" s="24"/>
      <c r="AN248" s="24"/>
      <c r="AO248" s="24"/>
      <c r="AP248" s="104"/>
      <c r="AQ248" s="24"/>
      <c r="AS248" s="24"/>
      <c r="AT248" s="24"/>
      <c r="AU248" s="24"/>
      <c r="AV248" s="104"/>
      <c r="BF248" s="105"/>
      <c r="BG248" s="105"/>
    </row>
    <row r="249" spans="35:59">
      <c r="AI249" s="24"/>
      <c r="AJ249" s="104"/>
      <c r="AK249" s="24"/>
      <c r="AL249" s="24"/>
      <c r="AM249" s="24"/>
      <c r="AN249" s="24"/>
      <c r="AO249" s="24"/>
      <c r="AP249" s="104"/>
      <c r="AQ249" s="24"/>
      <c r="AS249" s="24"/>
      <c r="AT249" s="24"/>
      <c r="AU249" s="24"/>
      <c r="AV249" s="104"/>
      <c r="BF249" s="105"/>
      <c r="BG249" s="105"/>
    </row>
    <row r="250" spans="35:59">
      <c r="AI250" s="24"/>
      <c r="AJ250" s="104"/>
      <c r="AK250" s="24"/>
      <c r="AL250" s="24"/>
      <c r="AM250" s="24"/>
      <c r="AN250" s="24"/>
      <c r="AO250" s="24"/>
      <c r="AP250" s="104"/>
      <c r="AQ250" s="24"/>
      <c r="AS250" s="24"/>
      <c r="AT250" s="24"/>
      <c r="AU250" s="24"/>
      <c r="AV250" s="104"/>
      <c r="BF250" s="105"/>
      <c r="BG250" s="105"/>
    </row>
    <row r="251" spans="35:59">
      <c r="AI251" s="24"/>
      <c r="AJ251" s="104"/>
      <c r="AK251" s="24"/>
      <c r="AL251" s="24"/>
      <c r="AM251" s="24"/>
      <c r="AN251" s="24"/>
      <c r="AO251" s="24"/>
      <c r="AP251" s="104"/>
      <c r="AQ251" s="24"/>
      <c r="AS251" s="24"/>
      <c r="AT251" s="24"/>
      <c r="AU251" s="24"/>
      <c r="AV251" s="104"/>
      <c r="BF251" s="105"/>
      <c r="BG251" s="105"/>
    </row>
    <row r="252" spans="35:59">
      <c r="AI252" s="24"/>
      <c r="AJ252" s="104"/>
      <c r="AK252" s="24"/>
      <c r="AL252" s="24"/>
      <c r="AM252" s="24"/>
      <c r="AN252" s="24"/>
      <c r="AO252" s="24"/>
      <c r="AP252" s="104"/>
      <c r="AQ252" s="24"/>
      <c r="AS252" s="24"/>
      <c r="AT252" s="24"/>
      <c r="AU252" s="24"/>
      <c r="AV252" s="104"/>
      <c r="BF252" s="105"/>
      <c r="BG252" s="105"/>
    </row>
    <row r="253" spans="35:59">
      <c r="AI253" s="24"/>
      <c r="AJ253" s="104"/>
      <c r="AK253" s="24"/>
      <c r="AL253" s="24"/>
      <c r="AM253" s="24"/>
      <c r="AN253" s="24"/>
      <c r="AO253" s="24"/>
      <c r="AP253" s="104"/>
      <c r="AQ253" s="24"/>
      <c r="AS253" s="24"/>
      <c r="AT253" s="24"/>
      <c r="AU253" s="24"/>
      <c r="AV253" s="104"/>
      <c r="BF253" s="105"/>
      <c r="BG253" s="105"/>
    </row>
    <row r="254" spans="35:59">
      <c r="AI254" s="24"/>
      <c r="AJ254" s="104"/>
      <c r="AK254" s="24"/>
      <c r="AL254" s="24"/>
      <c r="AM254" s="24"/>
      <c r="AN254" s="24"/>
      <c r="AO254" s="24"/>
      <c r="AP254" s="104"/>
      <c r="AQ254" s="24"/>
      <c r="AS254" s="24"/>
      <c r="AT254" s="24"/>
      <c r="AU254" s="24"/>
      <c r="AV254" s="104"/>
      <c r="BF254" s="105"/>
      <c r="BG254" s="105"/>
    </row>
    <row r="255" spans="35:59">
      <c r="AI255" s="24"/>
      <c r="AJ255" s="104"/>
      <c r="AK255" s="24"/>
      <c r="AL255" s="24"/>
      <c r="AM255" s="24"/>
      <c r="AN255" s="24"/>
      <c r="AO255" s="24"/>
      <c r="AP255" s="104"/>
      <c r="AQ255" s="24"/>
      <c r="AS255" s="24"/>
      <c r="AT255" s="24"/>
      <c r="AU255" s="24"/>
      <c r="AV255" s="104"/>
      <c r="BF255" s="105"/>
      <c r="BG255" s="105"/>
    </row>
    <row r="256" spans="35:59">
      <c r="AI256" s="24"/>
      <c r="AJ256" s="104"/>
      <c r="AK256" s="24"/>
      <c r="AL256" s="24"/>
      <c r="AM256" s="24"/>
      <c r="AN256" s="24"/>
      <c r="AO256" s="24"/>
      <c r="AP256" s="104"/>
      <c r="AQ256" s="24"/>
      <c r="AS256" s="24"/>
      <c r="AT256" s="24"/>
      <c r="AU256" s="24"/>
      <c r="AV256" s="104"/>
      <c r="BF256" s="105"/>
      <c r="BG256" s="105"/>
    </row>
    <row r="257" spans="35:59">
      <c r="AI257" s="24"/>
      <c r="AJ257" s="104"/>
      <c r="AK257" s="24"/>
      <c r="AL257" s="24"/>
      <c r="AM257" s="24"/>
      <c r="AN257" s="24"/>
      <c r="AO257" s="24"/>
      <c r="AP257" s="104"/>
      <c r="AQ257" s="24"/>
      <c r="AS257" s="24"/>
      <c r="AT257" s="24"/>
      <c r="AU257" s="24"/>
      <c r="AV257" s="104"/>
      <c r="BF257" s="105"/>
      <c r="BG257" s="105"/>
    </row>
    <row r="258" spans="35:59">
      <c r="AI258" s="24"/>
      <c r="AJ258" s="104"/>
      <c r="AK258" s="24"/>
      <c r="AL258" s="24"/>
      <c r="AM258" s="24"/>
      <c r="AN258" s="24"/>
      <c r="AO258" s="24"/>
      <c r="AP258" s="104"/>
      <c r="AQ258" s="24"/>
      <c r="AS258" s="24"/>
      <c r="AT258" s="24"/>
      <c r="AU258" s="24"/>
      <c r="AV258" s="104"/>
      <c r="BF258" s="105"/>
      <c r="BG258" s="105"/>
    </row>
    <row r="259" spans="35:59">
      <c r="AI259" s="24"/>
      <c r="AJ259" s="104"/>
      <c r="AK259" s="24"/>
      <c r="AL259" s="24"/>
      <c r="AM259" s="24"/>
      <c r="AN259" s="24"/>
      <c r="AO259" s="24"/>
      <c r="AP259" s="104"/>
      <c r="AQ259" s="24"/>
      <c r="AS259" s="24"/>
      <c r="AT259" s="24"/>
      <c r="AU259" s="24"/>
      <c r="AV259" s="104"/>
      <c r="BF259" s="105"/>
      <c r="BG259" s="105"/>
    </row>
    <row r="260" spans="35:59">
      <c r="AI260" s="24"/>
      <c r="AJ260" s="104"/>
      <c r="AK260" s="24"/>
      <c r="AL260" s="24"/>
      <c r="AM260" s="24"/>
      <c r="AN260" s="24"/>
      <c r="AO260" s="24"/>
      <c r="AP260" s="104"/>
      <c r="AQ260" s="24"/>
      <c r="AS260" s="24"/>
      <c r="AT260" s="24"/>
      <c r="AU260" s="24"/>
      <c r="AV260" s="104"/>
      <c r="BF260" s="105"/>
      <c r="BG260" s="105"/>
    </row>
    <row r="261" spans="35:59">
      <c r="AI261" s="24"/>
      <c r="AJ261" s="104"/>
      <c r="AK261" s="24"/>
      <c r="AL261" s="24"/>
      <c r="AM261" s="24"/>
      <c r="AN261" s="24"/>
      <c r="AO261" s="24"/>
      <c r="AP261" s="104"/>
      <c r="AQ261" s="24"/>
      <c r="AS261" s="24"/>
      <c r="AT261" s="24"/>
      <c r="AU261" s="24"/>
      <c r="AV261" s="104"/>
      <c r="BF261" s="105"/>
      <c r="BG261" s="105"/>
    </row>
    <row r="262" spans="35:59">
      <c r="AI262" s="24"/>
      <c r="AJ262" s="104"/>
      <c r="AK262" s="24"/>
      <c r="AL262" s="24"/>
      <c r="AM262" s="24"/>
      <c r="AN262" s="24"/>
      <c r="AO262" s="24"/>
      <c r="AP262" s="104"/>
      <c r="AQ262" s="24"/>
      <c r="AS262" s="24"/>
      <c r="AT262" s="24"/>
      <c r="AU262" s="24"/>
      <c r="AV262" s="104"/>
      <c r="BF262" s="105"/>
      <c r="BG262" s="105"/>
    </row>
    <row r="263" spans="35:59">
      <c r="AI263" s="24"/>
      <c r="AJ263" s="104"/>
      <c r="AK263" s="24"/>
      <c r="AL263" s="24"/>
      <c r="AM263" s="24"/>
      <c r="AN263" s="24"/>
      <c r="AO263" s="24"/>
      <c r="AP263" s="104"/>
      <c r="AQ263" s="24"/>
      <c r="AS263" s="24"/>
      <c r="AT263" s="24"/>
      <c r="AU263" s="24"/>
      <c r="AV263" s="104"/>
      <c r="BF263" s="105"/>
      <c r="BG263" s="105"/>
    </row>
    <row r="264" spans="35:59">
      <c r="AI264" s="24"/>
      <c r="AJ264" s="104"/>
      <c r="AK264" s="24"/>
      <c r="AL264" s="24"/>
      <c r="AM264" s="24"/>
      <c r="AN264" s="24"/>
      <c r="AO264" s="24"/>
      <c r="AP264" s="104"/>
      <c r="AQ264" s="24"/>
      <c r="AS264" s="24"/>
      <c r="AT264" s="24"/>
      <c r="AU264" s="24"/>
      <c r="AV264" s="104"/>
      <c r="BF264" s="105"/>
      <c r="BG264" s="105"/>
    </row>
    <row r="265" spans="35:59">
      <c r="AI265" s="24"/>
      <c r="AJ265" s="104"/>
      <c r="AK265" s="24"/>
      <c r="AL265" s="24"/>
      <c r="AM265" s="24"/>
      <c r="AN265" s="24"/>
      <c r="AO265" s="24"/>
      <c r="AP265" s="104"/>
      <c r="AQ265" s="24"/>
      <c r="AS265" s="24"/>
      <c r="AT265" s="24"/>
      <c r="AU265" s="24"/>
      <c r="AV265" s="104"/>
      <c r="BF265" s="105"/>
      <c r="BG265" s="105"/>
    </row>
    <row r="266" spans="35:59">
      <c r="AI266" s="24"/>
      <c r="AJ266" s="104"/>
      <c r="AK266" s="24"/>
      <c r="AL266" s="24"/>
      <c r="AM266" s="24"/>
      <c r="AN266" s="24"/>
      <c r="AO266" s="24"/>
      <c r="AP266" s="104"/>
      <c r="AQ266" s="24"/>
      <c r="AS266" s="24"/>
      <c r="AT266" s="24"/>
      <c r="AU266" s="24"/>
      <c r="AV266" s="104"/>
      <c r="BF266" s="105"/>
      <c r="BG266" s="105"/>
    </row>
    <row r="267" spans="35:59">
      <c r="AI267" s="25"/>
      <c r="AJ267" s="104"/>
      <c r="AK267" s="125"/>
      <c r="AL267" s="125"/>
      <c r="AM267" s="125"/>
      <c r="AN267" s="125"/>
      <c r="AO267" s="125"/>
      <c r="AP267" s="104"/>
      <c r="AQ267" s="25"/>
      <c r="AS267" s="125"/>
      <c r="AT267" s="125"/>
      <c r="AU267" s="125"/>
      <c r="AV267" s="104"/>
      <c r="BF267" s="105"/>
      <c r="BG267" s="105"/>
    </row>
    <row r="268" spans="35:59">
      <c r="AI268" s="25"/>
      <c r="AJ268" s="104"/>
      <c r="AK268" s="125"/>
      <c r="AL268" s="125"/>
      <c r="AM268" s="125"/>
      <c r="AN268" s="125"/>
      <c r="AO268" s="125"/>
      <c r="AP268" s="104"/>
      <c r="AQ268" s="25"/>
      <c r="AS268" s="125"/>
      <c r="AT268" s="125"/>
      <c r="AU268" s="125"/>
      <c r="AV268" s="104"/>
      <c r="BF268" s="105"/>
      <c r="BG268" s="105"/>
    </row>
    <row r="269" spans="35:59">
      <c r="AI269" s="22"/>
      <c r="AJ269" s="22"/>
      <c r="AK269" s="22"/>
      <c r="AL269" s="22"/>
      <c r="AM269" s="22"/>
      <c r="AN269" s="22"/>
      <c r="AO269" s="22"/>
      <c r="AP269" s="22"/>
      <c r="AQ269" s="22"/>
      <c r="AS269" s="22"/>
      <c r="AT269" s="22"/>
      <c r="AU269" s="22"/>
      <c r="AV269" s="22"/>
      <c r="BF269" s="105"/>
      <c r="BG269" s="105"/>
    </row>
    <row r="270" spans="35:59" ht="13.8" thickBot="1">
      <c r="AI270" s="23"/>
      <c r="AJ270" s="20"/>
      <c r="AK270" s="22"/>
      <c r="AL270" s="22"/>
      <c r="AM270" s="22"/>
      <c r="AN270" s="22"/>
      <c r="AO270" s="22"/>
      <c r="AP270" s="20"/>
      <c r="AQ270" s="23"/>
      <c r="AS270" s="22"/>
      <c r="AT270" s="22"/>
      <c r="AU270" s="22"/>
      <c r="AV270" s="20"/>
      <c r="BF270" s="105"/>
      <c r="BG270" s="105"/>
    </row>
    <row r="271" spans="35:59" ht="14.4" thickTop="1" thickBot="1">
      <c r="AI271" s="21"/>
      <c r="AJ271" s="19"/>
      <c r="AK271" s="22"/>
      <c r="AL271" s="22"/>
      <c r="AM271" s="22"/>
      <c r="AN271" s="22"/>
      <c r="AO271" s="22"/>
      <c r="AP271" s="19"/>
      <c r="AQ271" s="21"/>
      <c r="AS271" s="22"/>
      <c r="AT271" s="22"/>
      <c r="AU271" s="22"/>
      <c r="AV271" s="19"/>
      <c r="BF271" s="105"/>
      <c r="BG271" s="105"/>
    </row>
    <row r="272" spans="35:59" ht="14.4" thickTop="1" thickBot="1">
      <c r="AI272" s="21"/>
      <c r="AJ272" s="19"/>
      <c r="AK272" s="22"/>
      <c r="AL272" s="22"/>
      <c r="AM272" s="22"/>
      <c r="AN272" s="22"/>
      <c r="AO272" s="22"/>
      <c r="AP272" s="19"/>
      <c r="AQ272" s="21"/>
      <c r="AS272" s="22"/>
      <c r="AT272" s="22"/>
      <c r="AU272" s="22"/>
      <c r="AV272" s="19"/>
      <c r="BF272" s="105"/>
      <c r="BG272" s="105"/>
    </row>
    <row r="273" spans="35:59" ht="13.8" thickTop="1">
      <c r="AI273" s="21"/>
      <c r="AJ273" s="19"/>
      <c r="AK273" s="22"/>
      <c r="AL273" s="22"/>
      <c r="AM273" s="22"/>
      <c r="AN273" s="22"/>
      <c r="AO273" s="22"/>
      <c r="AP273" s="19"/>
      <c r="AQ273" s="21"/>
      <c r="AS273" s="22"/>
      <c r="AT273" s="22"/>
      <c r="AU273" s="22"/>
      <c r="AV273" s="19"/>
      <c r="BF273" s="105"/>
      <c r="BG273" s="105"/>
    </row>
    <row r="274" spans="35:59">
      <c r="AI274" s="14"/>
      <c r="AJ274" s="14"/>
      <c r="AK274" s="14"/>
      <c r="AL274" s="14"/>
      <c r="AM274" s="14"/>
      <c r="AN274" s="14"/>
      <c r="AO274" s="14"/>
      <c r="AP274" s="14"/>
      <c r="AQ274" s="14"/>
      <c r="AS274" s="14"/>
      <c r="AT274" s="14"/>
      <c r="AU274" s="14"/>
      <c r="AV274" s="14"/>
      <c r="BF274" s="105"/>
      <c r="BG274" s="105"/>
    </row>
    <row r="275" spans="35:59">
      <c r="AI275" s="14"/>
      <c r="AJ275" s="14"/>
      <c r="AK275" s="14"/>
      <c r="AL275" s="14"/>
      <c r="AM275" s="14"/>
      <c r="AN275" s="14"/>
      <c r="AO275" s="14"/>
      <c r="AP275" s="14"/>
      <c r="AQ275" s="14"/>
      <c r="AS275" s="14"/>
      <c r="AT275" s="14"/>
      <c r="AU275" s="14"/>
      <c r="AV275" s="14"/>
      <c r="BF275" s="105"/>
      <c r="BG275" s="105"/>
    </row>
    <row r="276" spans="35:59">
      <c r="AI276" s="14"/>
      <c r="AJ276" s="14"/>
      <c r="AK276" s="14"/>
      <c r="AL276" s="14"/>
      <c r="AM276" s="14"/>
      <c r="AN276" s="14"/>
      <c r="AO276" s="14"/>
      <c r="AP276" s="14"/>
      <c r="AQ276" s="14"/>
      <c r="AS276" s="14"/>
      <c r="AT276" s="14"/>
      <c r="AU276" s="14"/>
      <c r="AV276" s="14"/>
      <c r="BF276" s="105"/>
      <c r="BG276" s="105"/>
    </row>
    <row r="277" spans="35:59">
      <c r="AI277" s="14"/>
      <c r="AJ277" s="14"/>
      <c r="AK277" s="14"/>
      <c r="AL277" s="14"/>
      <c r="AM277" s="14"/>
      <c r="AN277" s="14"/>
      <c r="AO277" s="14"/>
      <c r="AP277" s="14"/>
      <c r="AQ277" s="14"/>
      <c r="AS277" s="14"/>
      <c r="AT277" s="14"/>
      <c r="AU277" s="14"/>
      <c r="AV277" s="14"/>
      <c r="BF277" s="105"/>
      <c r="BG277" s="105"/>
    </row>
    <row r="278" spans="35:59">
      <c r="BF278" s="105"/>
      <c r="BG278" s="105"/>
    </row>
    <row r="279" spans="35:59">
      <c r="BF279" s="105"/>
      <c r="BG279" s="105"/>
    </row>
    <row r="280" spans="35:59">
      <c r="BF280" s="105"/>
      <c r="BG280" s="105"/>
    </row>
    <row r="281" spans="35:59">
      <c r="BF281" s="105"/>
      <c r="BG281" s="105"/>
    </row>
    <row r="282" spans="35:59">
      <c r="BF282" s="105"/>
      <c r="BG282" s="105"/>
    </row>
    <row r="283" spans="35:59">
      <c r="BF283" s="105"/>
      <c r="BG283" s="105"/>
    </row>
    <row r="284" spans="35:59">
      <c r="BF284" s="105"/>
      <c r="BG284" s="105"/>
    </row>
    <row r="285" spans="35:59">
      <c r="BF285" s="105"/>
      <c r="BG285" s="105"/>
    </row>
    <row r="286" spans="35:59">
      <c r="BF286" s="105"/>
      <c r="BG286" s="105"/>
    </row>
    <row r="287" spans="35:59">
      <c r="BF287" s="105"/>
      <c r="BG287" s="105"/>
    </row>
    <row r="288" spans="35:59">
      <c r="BF288" s="105"/>
      <c r="BG288" s="105"/>
    </row>
    <row r="289" spans="58:59">
      <c r="BF289" s="105"/>
      <c r="BG289" s="105"/>
    </row>
    <row r="290" spans="58:59">
      <c r="BF290" s="105"/>
      <c r="BG290" s="105"/>
    </row>
    <row r="291" spans="58:59">
      <c r="BF291" s="105"/>
      <c r="BG291" s="105"/>
    </row>
    <row r="292" spans="58:59">
      <c r="BF292" s="105"/>
      <c r="BG292" s="105"/>
    </row>
    <row r="293" spans="58:59">
      <c r="BF293" s="105"/>
      <c r="BG293" s="105"/>
    </row>
    <row r="294" spans="58:59">
      <c r="BF294" s="105"/>
      <c r="BG294" s="105"/>
    </row>
    <row r="295" spans="58:59">
      <c r="BF295" s="105"/>
      <c r="BG295" s="105"/>
    </row>
    <row r="296" spans="58:59">
      <c r="BF296" s="105"/>
      <c r="BG296" s="105"/>
    </row>
    <row r="297" spans="58:59">
      <c r="BF297" s="105"/>
      <c r="BG297" s="105"/>
    </row>
    <row r="298" spans="58:59">
      <c r="BF298" s="105"/>
      <c r="BG298" s="105"/>
    </row>
    <row r="299" spans="58:59">
      <c r="BF299" s="105"/>
      <c r="BG299" s="105"/>
    </row>
    <row r="300" spans="58:59">
      <c r="BF300" s="105"/>
      <c r="BG300" s="105"/>
    </row>
    <row r="301" spans="58:59">
      <c r="BF301" s="105"/>
      <c r="BG301" s="105"/>
    </row>
    <row r="302" spans="58:59">
      <c r="BF302" s="105"/>
      <c r="BG302" s="105"/>
    </row>
    <row r="303" spans="58:59">
      <c r="BF303" s="105"/>
      <c r="BG303" s="105"/>
    </row>
    <row r="304" spans="58:59">
      <c r="BF304" s="105"/>
      <c r="BG304" s="105"/>
    </row>
    <row r="305" spans="58:59">
      <c r="BF305" s="105"/>
      <c r="BG305" s="105"/>
    </row>
    <row r="306" spans="58:59">
      <c r="BF306" s="105"/>
      <c r="BG306" s="105"/>
    </row>
    <row r="307" spans="58:59">
      <c r="BF307" s="105"/>
      <c r="BG307" s="105"/>
    </row>
    <row r="308" spans="58:59">
      <c r="BF308" s="105"/>
      <c r="BG308" s="105"/>
    </row>
    <row r="309" spans="58:59">
      <c r="BF309" s="105"/>
      <c r="BG309" s="105"/>
    </row>
    <row r="310" spans="58:59">
      <c r="BF310" s="105"/>
      <c r="BG310" s="105"/>
    </row>
    <row r="311" spans="58:59">
      <c r="BF311" s="105"/>
      <c r="BG311" s="105"/>
    </row>
    <row r="312" spans="58:59">
      <c r="BF312" s="105"/>
      <c r="BG312" s="105"/>
    </row>
    <row r="313" spans="58:59">
      <c r="BF313" s="105"/>
      <c r="BG313" s="105"/>
    </row>
    <row r="314" spans="58:59">
      <c r="BF314" s="105"/>
      <c r="BG314" s="105"/>
    </row>
    <row r="315" spans="58:59">
      <c r="BF315" s="105"/>
      <c r="BG315" s="105"/>
    </row>
    <row r="316" spans="58:59">
      <c r="BF316" s="105"/>
      <c r="BG316" s="105"/>
    </row>
    <row r="317" spans="58:59">
      <c r="BF317" s="105"/>
      <c r="BG317" s="105"/>
    </row>
    <row r="318" spans="58:59">
      <c r="BF318" s="105"/>
      <c r="BG318" s="105"/>
    </row>
    <row r="319" spans="58:59">
      <c r="BF319" s="105"/>
      <c r="BG319" s="105"/>
    </row>
    <row r="320" spans="58:59">
      <c r="BF320" s="105"/>
      <c r="BG320" s="105"/>
    </row>
    <row r="321" spans="58:59">
      <c r="BF321" s="105"/>
      <c r="BG321" s="105"/>
    </row>
    <row r="322" spans="58:59">
      <c r="BF322" s="105"/>
      <c r="BG322" s="105"/>
    </row>
    <row r="323" spans="58:59">
      <c r="BF323" s="105"/>
      <c r="BG323" s="105"/>
    </row>
    <row r="324" spans="58:59">
      <c r="BF324" s="105"/>
      <c r="BG324" s="105"/>
    </row>
    <row r="325" spans="58:59">
      <c r="BF325" s="105"/>
      <c r="BG325" s="105"/>
    </row>
    <row r="326" spans="58:59">
      <c r="BF326" s="105"/>
      <c r="BG326" s="105"/>
    </row>
    <row r="327" spans="58:59">
      <c r="BF327" s="105"/>
      <c r="BG327" s="105"/>
    </row>
    <row r="328" spans="58:59">
      <c r="BF328" s="105"/>
      <c r="BG328" s="105"/>
    </row>
    <row r="329" spans="58:59">
      <c r="BF329" s="105"/>
      <c r="BG329" s="105"/>
    </row>
    <row r="330" spans="58:59">
      <c r="BF330" s="105"/>
      <c r="BG330" s="105"/>
    </row>
    <row r="331" spans="58:59">
      <c r="BF331" s="105"/>
      <c r="BG331" s="105"/>
    </row>
    <row r="332" spans="58:59">
      <c r="BF332" s="105"/>
      <c r="BG332" s="105"/>
    </row>
    <row r="333" spans="58:59">
      <c r="BF333" s="105"/>
      <c r="BG333" s="105"/>
    </row>
    <row r="334" spans="58:59">
      <c r="BF334" s="105"/>
      <c r="BG334" s="105"/>
    </row>
    <row r="335" spans="58:59">
      <c r="BF335" s="105"/>
      <c r="BG335" s="105"/>
    </row>
    <row r="336" spans="58:59">
      <c r="BF336" s="105"/>
      <c r="BG336" s="105"/>
    </row>
    <row r="337" spans="58:59">
      <c r="BF337" s="105"/>
      <c r="BG337" s="105"/>
    </row>
    <row r="338" spans="58:59">
      <c r="BF338" s="105"/>
      <c r="BG338" s="105"/>
    </row>
    <row r="339" spans="58:59">
      <c r="BF339" s="105"/>
      <c r="BG339" s="105"/>
    </row>
    <row r="340" spans="58:59">
      <c r="BF340" s="105"/>
      <c r="BG340" s="105"/>
    </row>
    <row r="341" spans="58:59">
      <c r="BF341" s="105"/>
      <c r="BG341" s="105"/>
    </row>
    <row r="342" spans="58:59">
      <c r="BF342" s="105"/>
      <c r="BG342" s="105"/>
    </row>
    <row r="343" spans="58:59">
      <c r="BF343" s="105"/>
      <c r="BG343" s="105"/>
    </row>
    <row r="344" spans="58:59">
      <c r="BF344" s="105"/>
      <c r="BG344" s="105"/>
    </row>
    <row r="345" spans="58:59">
      <c r="BF345" s="105"/>
      <c r="BG345" s="105"/>
    </row>
    <row r="346" spans="58:59">
      <c r="BF346" s="105"/>
      <c r="BG346" s="105"/>
    </row>
    <row r="347" spans="58:59">
      <c r="BF347" s="105"/>
      <c r="BG347" s="105"/>
    </row>
    <row r="348" spans="58:59">
      <c r="BF348" s="105"/>
      <c r="BG348" s="105"/>
    </row>
    <row r="349" spans="58:59">
      <c r="BF349" s="105"/>
      <c r="BG349" s="105"/>
    </row>
    <row r="350" spans="58:59">
      <c r="BF350" s="105"/>
      <c r="BG350" s="105"/>
    </row>
    <row r="351" spans="58:59">
      <c r="BF351" s="105"/>
      <c r="BG351" s="105"/>
    </row>
    <row r="352" spans="58:59">
      <c r="BF352" s="105"/>
      <c r="BG352" s="105"/>
    </row>
    <row r="353" spans="58:59">
      <c r="BF353" s="105"/>
      <c r="BG353" s="105"/>
    </row>
    <row r="354" spans="58:59">
      <c r="BF354" s="105"/>
      <c r="BG354" s="105"/>
    </row>
    <row r="355" spans="58:59">
      <c r="BF355" s="105"/>
      <c r="BG355" s="105"/>
    </row>
    <row r="356" spans="58:59">
      <c r="BF356" s="105"/>
      <c r="BG356" s="105"/>
    </row>
    <row r="357" spans="58:59">
      <c r="BF357" s="105"/>
      <c r="BG357" s="105"/>
    </row>
    <row r="358" spans="58:59">
      <c r="BF358" s="105"/>
      <c r="BG358" s="105"/>
    </row>
    <row r="359" spans="58:59">
      <c r="BF359" s="105"/>
      <c r="BG359" s="105"/>
    </row>
    <row r="360" spans="58:59">
      <c r="BF360" s="105"/>
      <c r="BG360" s="105"/>
    </row>
    <row r="361" spans="58:59">
      <c r="BF361" s="105"/>
      <c r="BG361" s="105"/>
    </row>
    <row r="362" spans="58:59">
      <c r="BF362" s="105"/>
      <c r="BG362" s="105"/>
    </row>
    <row r="363" spans="58:59">
      <c r="BF363" s="105"/>
      <c r="BG363" s="105"/>
    </row>
    <row r="364" spans="58:59">
      <c r="BF364" s="105"/>
      <c r="BG364" s="105"/>
    </row>
    <row r="365" spans="58:59">
      <c r="BF365" s="105"/>
      <c r="BG365" s="105"/>
    </row>
    <row r="366" spans="58:59">
      <c r="BF366" s="105"/>
      <c r="BG366" s="105"/>
    </row>
    <row r="367" spans="58:59">
      <c r="BF367" s="105"/>
      <c r="BG367" s="105"/>
    </row>
    <row r="368" spans="58:59">
      <c r="BF368" s="105"/>
      <c r="BG368" s="105"/>
    </row>
    <row r="369" spans="58:59">
      <c r="BF369" s="105"/>
      <c r="BG369" s="105"/>
    </row>
    <row r="370" spans="58:59">
      <c r="BF370" s="105"/>
      <c r="BG370" s="105"/>
    </row>
    <row r="371" spans="58:59">
      <c r="BF371" s="105"/>
      <c r="BG371" s="105"/>
    </row>
    <row r="372" spans="58:59">
      <c r="BF372" s="105"/>
      <c r="BG372" s="105"/>
    </row>
    <row r="373" spans="58:59">
      <c r="BF373" s="105"/>
      <c r="BG373" s="105"/>
    </row>
    <row r="374" spans="58:59">
      <c r="BF374" s="105"/>
      <c r="BG374" s="105"/>
    </row>
    <row r="375" spans="58:59">
      <c r="BF375" s="105"/>
      <c r="BG375" s="105"/>
    </row>
    <row r="376" spans="58:59">
      <c r="BF376" s="105"/>
      <c r="BG376" s="105"/>
    </row>
    <row r="377" spans="58:59">
      <c r="BF377" s="105"/>
      <c r="BG377" s="105"/>
    </row>
    <row r="378" spans="58:59">
      <c r="BF378" s="105"/>
      <c r="BG378" s="105"/>
    </row>
    <row r="379" spans="58:59">
      <c r="BF379" s="105"/>
      <c r="BG379" s="105"/>
    </row>
    <row r="380" spans="58:59">
      <c r="BF380" s="105"/>
      <c r="BG380" s="105"/>
    </row>
    <row r="381" spans="58:59">
      <c r="BF381" s="105"/>
      <c r="BG381" s="105"/>
    </row>
    <row r="382" spans="58:59">
      <c r="BF382" s="105"/>
      <c r="BG382" s="105"/>
    </row>
    <row r="383" spans="58:59">
      <c r="BF383" s="105"/>
      <c r="BG383" s="105"/>
    </row>
    <row r="384" spans="58:59">
      <c r="BF384" s="105"/>
      <c r="BG384" s="105"/>
    </row>
    <row r="385" spans="58:59">
      <c r="BF385" s="105"/>
      <c r="BG385" s="105"/>
    </row>
    <row r="386" spans="58:59">
      <c r="BF386" s="105"/>
      <c r="BG386" s="105"/>
    </row>
    <row r="387" spans="58:59">
      <c r="BF387" s="105"/>
      <c r="BG387" s="105"/>
    </row>
    <row r="388" spans="58:59">
      <c r="BF388" s="105"/>
      <c r="BG388" s="105"/>
    </row>
    <row r="389" spans="58:59">
      <c r="BF389" s="105"/>
      <c r="BG389" s="105"/>
    </row>
    <row r="390" spans="58:59">
      <c r="BF390" s="105"/>
      <c r="BG390" s="105"/>
    </row>
    <row r="391" spans="58:59">
      <c r="BF391" s="105"/>
      <c r="BG391" s="105"/>
    </row>
    <row r="392" spans="58:59">
      <c r="BF392" s="105"/>
      <c r="BG392" s="105"/>
    </row>
    <row r="393" spans="58:59">
      <c r="BF393" s="105"/>
      <c r="BG393" s="105"/>
    </row>
    <row r="394" spans="58:59">
      <c r="BF394" s="105"/>
      <c r="BG394" s="105"/>
    </row>
    <row r="395" spans="58:59">
      <c r="BF395" s="105"/>
      <c r="BG395" s="105"/>
    </row>
    <row r="396" spans="58:59">
      <c r="BF396" s="105"/>
      <c r="BG396" s="105"/>
    </row>
    <row r="397" spans="58:59">
      <c r="BF397" s="105"/>
      <c r="BG397" s="105"/>
    </row>
    <row r="398" spans="58:59">
      <c r="BF398" s="105"/>
      <c r="BG398" s="105"/>
    </row>
    <row r="399" spans="58:59">
      <c r="BF399" s="105"/>
      <c r="BG399" s="105"/>
    </row>
    <row r="400" spans="58:59">
      <c r="BF400" s="105"/>
      <c r="BG400" s="105"/>
    </row>
    <row r="401" spans="58:59">
      <c r="BF401" s="105"/>
      <c r="BG401" s="105"/>
    </row>
    <row r="402" spans="58:59">
      <c r="BF402" s="105"/>
      <c r="BG402" s="105"/>
    </row>
    <row r="403" spans="58:59">
      <c r="BF403" s="105"/>
      <c r="BG403" s="105"/>
    </row>
    <row r="404" spans="58:59">
      <c r="BF404" s="105"/>
      <c r="BG404" s="105"/>
    </row>
    <row r="405" spans="58:59">
      <c r="BF405" s="105"/>
      <c r="BG405" s="105"/>
    </row>
    <row r="406" spans="58:59">
      <c r="BF406" s="105"/>
      <c r="BG406" s="105"/>
    </row>
    <row r="407" spans="58:59">
      <c r="BF407" s="105"/>
      <c r="BG407" s="105"/>
    </row>
    <row r="408" spans="58:59">
      <c r="BF408" s="105"/>
      <c r="BG408" s="105"/>
    </row>
    <row r="409" spans="58:59">
      <c r="BF409" s="105"/>
      <c r="BG409" s="105"/>
    </row>
    <row r="410" spans="58:59">
      <c r="BF410" s="105"/>
      <c r="BG410" s="105"/>
    </row>
    <row r="411" spans="58:59">
      <c r="BF411" s="105"/>
      <c r="BG411" s="105"/>
    </row>
    <row r="412" spans="58:59">
      <c r="BF412" s="105"/>
      <c r="BG412" s="105"/>
    </row>
    <row r="413" spans="58:59">
      <c r="BF413" s="105"/>
      <c r="BG413" s="105"/>
    </row>
    <row r="414" spans="58:59">
      <c r="BF414" s="105"/>
      <c r="BG414" s="105"/>
    </row>
    <row r="415" spans="58:59">
      <c r="BF415" s="105"/>
      <c r="BG415" s="105"/>
    </row>
    <row r="416" spans="58:59">
      <c r="BF416" s="105"/>
      <c r="BG416" s="105"/>
    </row>
    <row r="417" spans="58:59">
      <c r="BF417" s="105"/>
      <c r="BG417" s="105"/>
    </row>
    <row r="418" spans="58:59">
      <c r="BF418" s="105"/>
      <c r="BG418" s="105"/>
    </row>
    <row r="419" spans="58:59">
      <c r="BF419" s="105"/>
      <c r="BG419" s="105"/>
    </row>
    <row r="420" spans="58:59">
      <c r="BF420" s="105"/>
      <c r="BG420" s="105"/>
    </row>
    <row r="421" spans="58:59">
      <c r="BF421" s="105"/>
      <c r="BG421" s="105"/>
    </row>
    <row r="422" spans="58:59">
      <c r="BF422" s="105"/>
      <c r="BG422" s="105"/>
    </row>
    <row r="423" spans="58:59">
      <c r="BF423" s="105"/>
      <c r="BG423" s="105"/>
    </row>
    <row r="424" spans="58:59">
      <c r="BF424" s="105"/>
      <c r="BG424" s="105"/>
    </row>
    <row r="425" spans="58:59">
      <c r="BF425" s="105"/>
      <c r="BG425" s="105"/>
    </row>
    <row r="426" spans="58:59">
      <c r="BF426" s="105"/>
      <c r="BG426" s="105"/>
    </row>
    <row r="427" spans="58:59">
      <c r="BF427" s="105"/>
      <c r="BG427" s="105"/>
    </row>
    <row r="428" spans="58:59">
      <c r="BF428" s="105"/>
      <c r="BG428" s="105"/>
    </row>
    <row r="429" spans="58:59">
      <c r="BF429" s="105"/>
      <c r="BG429" s="105"/>
    </row>
    <row r="430" spans="58:59">
      <c r="BF430" s="105"/>
      <c r="BG430" s="105"/>
    </row>
    <row r="431" spans="58:59">
      <c r="BF431" s="105"/>
      <c r="BG431" s="105"/>
    </row>
    <row r="432" spans="58:59">
      <c r="BF432" s="105"/>
      <c r="BG432" s="105"/>
    </row>
    <row r="433" spans="58:59">
      <c r="BF433" s="105"/>
      <c r="BG433" s="105"/>
    </row>
    <row r="434" spans="58:59">
      <c r="BF434" s="105"/>
      <c r="BG434" s="105"/>
    </row>
    <row r="435" spans="58:59">
      <c r="BF435" s="105"/>
      <c r="BG435" s="105"/>
    </row>
    <row r="436" spans="58:59">
      <c r="BF436" s="105"/>
      <c r="BG436" s="105"/>
    </row>
    <row r="437" spans="58:59">
      <c r="BF437" s="105"/>
      <c r="BG437" s="105"/>
    </row>
    <row r="438" spans="58:59">
      <c r="BF438" s="105"/>
      <c r="BG438" s="105"/>
    </row>
    <row r="439" spans="58:59">
      <c r="BF439" s="105"/>
      <c r="BG439" s="105"/>
    </row>
    <row r="440" spans="58:59">
      <c r="BF440" s="105"/>
      <c r="BG440" s="105"/>
    </row>
    <row r="441" spans="58:59">
      <c r="BF441" s="105"/>
      <c r="BG441" s="105"/>
    </row>
    <row r="442" spans="58:59">
      <c r="BF442" s="105"/>
      <c r="BG442" s="105"/>
    </row>
    <row r="443" spans="58:59">
      <c r="BF443" s="105"/>
      <c r="BG443" s="105"/>
    </row>
    <row r="444" spans="58:59">
      <c r="BF444" s="105"/>
      <c r="BG444" s="105"/>
    </row>
    <row r="445" spans="58:59">
      <c r="BF445" s="105"/>
      <c r="BG445" s="105"/>
    </row>
    <row r="446" spans="58:59">
      <c r="BF446" s="105"/>
      <c r="BG446" s="105"/>
    </row>
    <row r="447" spans="58:59">
      <c r="BF447" s="105"/>
      <c r="BG447" s="105"/>
    </row>
    <row r="448" spans="58:59">
      <c r="BF448" s="105"/>
      <c r="BG448" s="105"/>
    </row>
    <row r="449" spans="58:59">
      <c r="BF449" s="105"/>
      <c r="BG449" s="105"/>
    </row>
    <row r="450" spans="58:59">
      <c r="BF450" s="105"/>
      <c r="BG450" s="105"/>
    </row>
    <row r="451" spans="58:59">
      <c r="BF451" s="105"/>
      <c r="BG451" s="105"/>
    </row>
    <row r="452" spans="58:59">
      <c r="BF452" s="105"/>
      <c r="BG452" s="105"/>
    </row>
    <row r="453" spans="58:59">
      <c r="BF453" s="105"/>
      <c r="BG453" s="105"/>
    </row>
    <row r="454" spans="58:59">
      <c r="BF454" s="105"/>
      <c r="BG454" s="105"/>
    </row>
    <row r="455" spans="58:59">
      <c r="BF455" s="105"/>
      <c r="BG455" s="105"/>
    </row>
    <row r="456" spans="58:59">
      <c r="BF456" s="105"/>
      <c r="BG456" s="105"/>
    </row>
    <row r="457" spans="58:59">
      <c r="BF457" s="105"/>
      <c r="BG457" s="105"/>
    </row>
    <row r="458" spans="58:59">
      <c r="BF458" s="105"/>
      <c r="BG458" s="105"/>
    </row>
    <row r="459" spans="58:59">
      <c r="BF459" s="105"/>
      <c r="BG459" s="105"/>
    </row>
    <row r="460" spans="58:59">
      <c r="BF460" s="105"/>
      <c r="BG460" s="105"/>
    </row>
    <row r="461" spans="58:59">
      <c r="BF461" s="105"/>
      <c r="BG461" s="105"/>
    </row>
    <row r="462" spans="58:59">
      <c r="BF462" s="105"/>
      <c r="BG462" s="105"/>
    </row>
    <row r="463" spans="58:59">
      <c r="BF463" s="105"/>
      <c r="BG463" s="105"/>
    </row>
    <row r="464" spans="58:59">
      <c r="BF464" s="105"/>
      <c r="BG464" s="105"/>
    </row>
    <row r="465" spans="58:59">
      <c r="BF465" s="105"/>
      <c r="BG465" s="105"/>
    </row>
    <row r="466" spans="58:59">
      <c r="BF466" s="105"/>
      <c r="BG466" s="105"/>
    </row>
    <row r="467" spans="58:59">
      <c r="BF467" s="105"/>
      <c r="BG467" s="105"/>
    </row>
    <row r="468" spans="58:59">
      <c r="BF468" s="105"/>
      <c r="BG468" s="105"/>
    </row>
    <row r="469" spans="58:59">
      <c r="BF469" s="105"/>
      <c r="BG469" s="105"/>
    </row>
    <row r="470" spans="58:59">
      <c r="BF470" s="105"/>
      <c r="BG470" s="105"/>
    </row>
    <row r="471" spans="58:59">
      <c r="BF471" s="105"/>
      <c r="BG471" s="105"/>
    </row>
    <row r="472" spans="58:59">
      <c r="BF472" s="105"/>
      <c r="BG472" s="105"/>
    </row>
    <row r="473" spans="58:59">
      <c r="BF473" s="105"/>
      <c r="BG473" s="105"/>
    </row>
    <row r="474" spans="58:59">
      <c r="BF474" s="105"/>
      <c r="BG474" s="105"/>
    </row>
    <row r="475" spans="58:59">
      <c r="BF475" s="105"/>
      <c r="BG475" s="105"/>
    </row>
    <row r="476" spans="58:59">
      <c r="BF476" s="105"/>
      <c r="BG476" s="105"/>
    </row>
    <row r="477" spans="58:59">
      <c r="BF477" s="105"/>
      <c r="BG477" s="105"/>
    </row>
    <row r="478" spans="58:59">
      <c r="BF478" s="105"/>
      <c r="BG478" s="105"/>
    </row>
    <row r="479" spans="58:59">
      <c r="BF479" s="105"/>
      <c r="BG479" s="105"/>
    </row>
    <row r="480" spans="58:59">
      <c r="BF480" s="105"/>
      <c r="BG480" s="105"/>
    </row>
    <row r="481" spans="58:59">
      <c r="BF481" s="105"/>
      <c r="BG481" s="105"/>
    </row>
    <row r="482" spans="58:59">
      <c r="BF482" s="105"/>
      <c r="BG482" s="105"/>
    </row>
    <row r="483" spans="58:59">
      <c r="BF483" s="105"/>
      <c r="BG483" s="105"/>
    </row>
    <row r="484" spans="58:59">
      <c r="BF484" s="105"/>
      <c r="BG484" s="105"/>
    </row>
    <row r="485" spans="58:59">
      <c r="BF485" s="105"/>
      <c r="BG485" s="105"/>
    </row>
    <row r="486" spans="58:59">
      <c r="BF486" s="105"/>
      <c r="BG486" s="105"/>
    </row>
    <row r="487" spans="58:59">
      <c r="BF487" s="105"/>
      <c r="BG487" s="105"/>
    </row>
    <row r="488" spans="58:59">
      <c r="BF488" s="105"/>
      <c r="BG488" s="105"/>
    </row>
    <row r="489" spans="58:59">
      <c r="BF489" s="105"/>
      <c r="BG489" s="105"/>
    </row>
    <row r="490" spans="58:59">
      <c r="BF490" s="105"/>
      <c r="BG490" s="105"/>
    </row>
    <row r="491" spans="58:59">
      <c r="BF491" s="105"/>
      <c r="BG491" s="105"/>
    </row>
    <row r="492" spans="58:59">
      <c r="BF492" s="105"/>
      <c r="BG492" s="105"/>
    </row>
    <row r="493" spans="58:59">
      <c r="BF493" s="105"/>
      <c r="BG493" s="105"/>
    </row>
    <row r="494" spans="58:59">
      <c r="BF494" s="105"/>
      <c r="BG494" s="105"/>
    </row>
    <row r="495" spans="58:59">
      <c r="BF495" s="105"/>
      <c r="BG495" s="105"/>
    </row>
    <row r="496" spans="58:59">
      <c r="BF496" s="105"/>
      <c r="BG496" s="105"/>
    </row>
    <row r="497" spans="58:59">
      <c r="BF497" s="105"/>
      <c r="BG497" s="105"/>
    </row>
    <row r="498" spans="58:59">
      <c r="BF498" s="105"/>
      <c r="BG498" s="105"/>
    </row>
    <row r="499" spans="58:59">
      <c r="BF499" s="105"/>
      <c r="BG499" s="105"/>
    </row>
    <row r="500" spans="58:59">
      <c r="BF500" s="105"/>
      <c r="BG500" s="105"/>
    </row>
    <row r="501" spans="58:59">
      <c r="BF501" s="105"/>
      <c r="BG501" s="105"/>
    </row>
    <row r="502" spans="58:59">
      <c r="BF502" s="105"/>
      <c r="BG502" s="105"/>
    </row>
    <row r="503" spans="58:59">
      <c r="BF503" s="105"/>
      <c r="BG503" s="105"/>
    </row>
    <row r="504" spans="58:59">
      <c r="BF504" s="105"/>
      <c r="BG504" s="105"/>
    </row>
    <row r="505" spans="58:59">
      <c r="BF505" s="105"/>
      <c r="BG505" s="105"/>
    </row>
    <row r="506" spans="58:59">
      <c r="BF506" s="105"/>
      <c r="BG506" s="105"/>
    </row>
    <row r="507" spans="58:59">
      <c r="BF507" s="105"/>
      <c r="BG507" s="105"/>
    </row>
    <row r="508" spans="58:59">
      <c r="BF508" s="105"/>
      <c r="BG508" s="105"/>
    </row>
    <row r="509" spans="58:59">
      <c r="BF509" s="105"/>
      <c r="BG509" s="105"/>
    </row>
    <row r="510" spans="58:59">
      <c r="BF510" s="105"/>
      <c r="BG510" s="105"/>
    </row>
    <row r="511" spans="58:59">
      <c r="BF511" s="105"/>
      <c r="BG511" s="105"/>
    </row>
    <row r="512" spans="58:59">
      <c r="BF512" s="105"/>
      <c r="BG512" s="105"/>
    </row>
    <row r="513" spans="58:59">
      <c r="BF513" s="105"/>
      <c r="BG513" s="105"/>
    </row>
    <row r="514" spans="58:59">
      <c r="BF514" s="105"/>
      <c r="BG514" s="105"/>
    </row>
    <row r="515" spans="58:59">
      <c r="BF515" s="105"/>
      <c r="BG515" s="105"/>
    </row>
    <row r="516" spans="58:59">
      <c r="BF516" s="105"/>
      <c r="BG516" s="105"/>
    </row>
    <row r="517" spans="58:59">
      <c r="BF517" s="105"/>
      <c r="BG517" s="105"/>
    </row>
    <row r="518" spans="58:59">
      <c r="BF518" s="105"/>
      <c r="BG518" s="105"/>
    </row>
    <row r="519" spans="58:59">
      <c r="BF519" s="105"/>
      <c r="BG519" s="105"/>
    </row>
    <row r="520" spans="58:59">
      <c r="BF520" s="105"/>
      <c r="BG520" s="105"/>
    </row>
    <row r="521" spans="58:59">
      <c r="BF521" s="105"/>
      <c r="BG521" s="105"/>
    </row>
    <row r="522" spans="58:59">
      <c r="BF522" s="105"/>
      <c r="BG522" s="105"/>
    </row>
    <row r="523" spans="58:59">
      <c r="BF523" s="105"/>
      <c r="BG523" s="105"/>
    </row>
    <row r="524" spans="58:59">
      <c r="BF524" s="105"/>
      <c r="BG524" s="105"/>
    </row>
    <row r="525" spans="58:59">
      <c r="BF525" s="105"/>
      <c r="BG525" s="105"/>
    </row>
    <row r="526" spans="58:59">
      <c r="BF526" s="105"/>
      <c r="BG526" s="105"/>
    </row>
    <row r="527" spans="58:59">
      <c r="BF527" s="105"/>
      <c r="BG527" s="105"/>
    </row>
    <row r="528" spans="58:59">
      <c r="BF528" s="105"/>
      <c r="BG528" s="105"/>
    </row>
    <row r="529" spans="58:59">
      <c r="BF529" s="105"/>
      <c r="BG529" s="105"/>
    </row>
    <row r="530" spans="58:59">
      <c r="BF530" s="105"/>
      <c r="BG530" s="105"/>
    </row>
    <row r="531" spans="58:59">
      <c r="BF531" s="105"/>
      <c r="BG531" s="105"/>
    </row>
    <row r="532" spans="58:59">
      <c r="BF532" s="105"/>
      <c r="BG532" s="105"/>
    </row>
    <row r="533" spans="58:59">
      <c r="BF533" s="105"/>
      <c r="BG533" s="105"/>
    </row>
    <row r="534" spans="58:59">
      <c r="BF534" s="105"/>
      <c r="BG534" s="105"/>
    </row>
    <row r="535" spans="58:59">
      <c r="BF535" s="105"/>
      <c r="BG535" s="105"/>
    </row>
    <row r="536" spans="58:59">
      <c r="BF536" s="105"/>
      <c r="BG536" s="105"/>
    </row>
    <row r="537" spans="58:59">
      <c r="BF537" s="105"/>
      <c r="BG537" s="105"/>
    </row>
    <row r="538" spans="58:59">
      <c r="BF538" s="105"/>
      <c r="BG538" s="105"/>
    </row>
    <row r="539" spans="58:59">
      <c r="BF539" s="105"/>
      <c r="BG539" s="105"/>
    </row>
    <row r="540" spans="58:59">
      <c r="BF540" s="105"/>
      <c r="BG540" s="105"/>
    </row>
    <row r="541" spans="58:59">
      <c r="BF541" s="105"/>
      <c r="BG541" s="105"/>
    </row>
    <row r="542" spans="58:59">
      <c r="BF542" s="105"/>
      <c r="BG542" s="105"/>
    </row>
    <row r="543" spans="58:59">
      <c r="BF543" s="105"/>
      <c r="BG543" s="105"/>
    </row>
    <row r="544" spans="58:59">
      <c r="BF544" s="105"/>
      <c r="BG544" s="105"/>
    </row>
    <row r="545" spans="58:59">
      <c r="BF545" s="105"/>
      <c r="BG545" s="105"/>
    </row>
    <row r="546" spans="58:59">
      <c r="BF546" s="105"/>
      <c r="BG546" s="105"/>
    </row>
    <row r="547" spans="58:59">
      <c r="BF547" s="105"/>
      <c r="BG547" s="105"/>
    </row>
    <row r="548" spans="58:59">
      <c r="BF548" s="105"/>
      <c r="BG548" s="105"/>
    </row>
    <row r="549" spans="58:59">
      <c r="BF549" s="105"/>
      <c r="BG549" s="105"/>
    </row>
    <row r="550" spans="58:59">
      <c r="BF550" s="105"/>
      <c r="BG550" s="105"/>
    </row>
    <row r="551" spans="58:59">
      <c r="BF551" s="105"/>
      <c r="BG551" s="105"/>
    </row>
    <row r="552" spans="58:59">
      <c r="BF552" s="105"/>
      <c r="BG552" s="105"/>
    </row>
    <row r="553" spans="58:59">
      <c r="BF553" s="105"/>
      <c r="BG553" s="105"/>
    </row>
    <row r="554" spans="58:59">
      <c r="BF554" s="105"/>
      <c r="BG554" s="105"/>
    </row>
    <row r="555" spans="58:59">
      <c r="BF555" s="105"/>
      <c r="BG555" s="105"/>
    </row>
    <row r="556" spans="58:59">
      <c r="BF556" s="105"/>
      <c r="BG556" s="105"/>
    </row>
    <row r="557" spans="58:59">
      <c r="BF557" s="105"/>
      <c r="BG557" s="105"/>
    </row>
    <row r="558" spans="58:59">
      <c r="BF558" s="105"/>
      <c r="BG558" s="105"/>
    </row>
    <row r="559" spans="58:59">
      <c r="BF559" s="105"/>
      <c r="BG559" s="105"/>
    </row>
    <row r="560" spans="58:59">
      <c r="BF560" s="105"/>
      <c r="BG560" s="105"/>
    </row>
    <row r="561" spans="58:59">
      <c r="BF561" s="105"/>
      <c r="BG561" s="105"/>
    </row>
    <row r="562" spans="58:59">
      <c r="BF562" s="105"/>
      <c r="BG562" s="105"/>
    </row>
    <row r="563" spans="58:59">
      <c r="BF563" s="105"/>
      <c r="BG563" s="105"/>
    </row>
    <row r="564" spans="58:59">
      <c r="BF564" s="105"/>
      <c r="BG564" s="105"/>
    </row>
    <row r="565" spans="58:59">
      <c r="BF565" s="105"/>
      <c r="BG565" s="105"/>
    </row>
    <row r="566" spans="58:59">
      <c r="BF566" s="105"/>
      <c r="BG566" s="105"/>
    </row>
    <row r="567" spans="58:59">
      <c r="BF567" s="105"/>
      <c r="BG567" s="105"/>
    </row>
    <row r="568" spans="58:59">
      <c r="BF568" s="105"/>
      <c r="BG568" s="105"/>
    </row>
    <row r="569" spans="58:59">
      <c r="BF569" s="105"/>
      <c r="BG569" s="105"/>
    </row>
    <row r="570" spans="58:59">
      <c r="BF570" s="105"/>
      <c r="BG570" s="105"/>
    </row>
    <row r="571" spans="58:59">
      <c r="BF571" s="105"/>
      <c r="BG571" s="105"/>
    </row>
    <row r="572" spans="58:59">
      <c r="BF572" s="105"/>
      <c r="BG572" s="105"/>
    </row>
    <row r="573" spans="58:59">
      <c r="BF573" s="105"/>
      <c r="BG573" s="105"/>
    </row>
    <row r="574" spans="58:59">
      <c r="BF574" s="105"/>
      <c r="BG574" s="105"/>
    </row>
    <row r="575" spans="58:59">
      <c r="BF575" s="105"/>
      <c r="BG575" s="105"/>
    </row>
    <row r="576" spans="58:59">
      <c r="BF576" s="105"/>
      <c r="BG576" s="105"/>
    </row>
    <row r="577" spans="58:59">
      <c r="BF577" s="105"/>
      <c r="BG577" s="105"/>
    </row>
    <row r="578" spans="58:59">
      <c r="BF578" s="105"/>
      <c r="BG578" s="105"/>
    </row>
    <row r="579" spans="58:59">
      <c r="BF579" s="105"/>
      <c r="BG579" s="105"/>
    </row>
    <row r="580" spans="58:59">
      <c r="BF580" s="105"/>
      <c r="BG580" s="105"/>
    </row>
    <row r="581" spans="58:59">
      <c r="BF581" s="105"/>
      <c r="BG581" s="105"/>
    </row>
    <row r="582" spans="58:59">
      <c r="BF582" s="105"/>
      <c r="BG582" s="105"/>
    </row>
    <row r="583" spans="58:59">
      <c r="BF583" s="105"/>
      <c r="BG583" s="105"/>
    </row>
    <row r="584" spans="58:59">
      <c r="BF584" s="105"/>
      <c r="BG584" s="105"/>
    </row>
    <row r="585" spans="58:59">
      <c r="BF585" s="105"/>
      <c r="BG585" s="105"/>
    </row>
    <row r="586" spans="58:59">
      <c r="BF586" s="105"/>
      <c r="BG586" s="105"/>
    </row>
    <row r="587" spans="58:59">
      <c r="BF587" s="105"/>
      <c r="BG587" s="105"/>
    </row>
    <row r="588" spans="58:59">
      <c r="BF588" s="105"/>
      <c r="BG588" s="105"/>
    </row>
    <row r="589" spans="58:59">
      <c r="BF589" s="105"/>
      <c r="BG589" s="105"/>
    </row>
    <row r="590" spans="58:59">
      <c r="BF590" s="105"/>
      <c r="BG590" s="105"/>
    </row>
    <row r="591" spans="58:59">
      <c r="BF591" s="105"/>
      <c r="BG591" s="105"/>
    </row>
    <row r="592" spans="58:59">
      <c r="BF592" s="105"/>
      <c r="BG592" s="105"/>
    </row>
    <row r="593" spans="58:59">
      <c r="BF593" s="105"/>
      <c r="BG593" s="105"/>
    </row>
    <row r="594" spans="58:59">
      <c r="BF594" s="105"/>
      <c r="BG594" s="105"/>
    </row>
    <row r="595" spans="58:59">
      <c r="BF595" s="105"/>
      <c r="BG595" s="105"/>
    </row>
    <row r="596" spans="58:59">
      <c r="BF596" s="105"/>
      <c r="BG596" s="105"/>
    </row>
    <row r="597" spans="58:59">
      <c r="BF597" s="105"/>
      <c r="BG597" s="105"/>
    </row>
    <row r="598" spans="58:59">
      <c r="BF598" s="105"/>
      <c r="BG598" s="105"/>
    </row>
    <row r="599" spans="58:59">
      <c r="BF599" s="105"/>
      <c r="BG599" s="105"/>
    </row>
    <row r="600" spans="58:59">
      <c r="BF600" s="105"/>
      <c r="BG600" s="105"/>
    </row>
    <row r="601" spans="58:59">
      <c r="BF601" s="105"/>
      <c r="BG601" s="105"/>
    </row>
    <row r="602" spans="58:59">
      <c r="BF602" s="105"/>
      <c r="BG602" s="105"/>
    </row>
    <row r="603" spans="58:59">
      <c r="BF603" s="105"/>
      <c r="BG603" s="105"/>
    </row>
    <row r="604" spans="58:59">
      <c r="BF604" s="105"/>
      <c r="BG604" s="105"/>
    </row>
    <row r="605" spans="58:59">
      <c r="BF605" s="105"/>
      <c r="BG605" s="105"/>
    </row>
    <row r="606" spans="58:59">
      <c r="BF606" s="105"/>
      <c r="BG606" s="105"/>
    </row>
    <row r="607" spans="58:59">
      <c r="BF607" s="105"/>
      <c r="BG607" s="105"/>
    </row>
    <row r="608" spans="58:59">
      <c r="BF608" s="105"/>
      <c r="BG608" s="105"/>
    </row>
    <row r="609" spans="58:59">
      <c r="BF609" s="105"/>
      <c r="BG609" s="105"/>
    </row>
    <row r="610" spans="58:59">
      <c r="BF610" s="105"/>
      <c r="BG610" s="105"/>
    </row>
    <row r="611" spans="58:59">
      <c r="BF611" s="105"/>
      <c r="BG611" s="105"/>
    </row>
    <row r="612" spans="58:59">
      <c r="BF612" s="105"/>
      <c r="BG612" s="105"/>
    </row>
    <row r="613" spans="58:59">
      <c r="BF613" s="105"/>
      <c r="BG613" s="105"/>
    </row>
    <row r="614" spans="58:59">
      <c r="BF614" s="105"/>
      <c r="BG614" s="105"/>
    </row>
    <row r="615" spans="58:59">
      <c r="BF615" s="105"/>
      <c r="BG615" s="105"/>
    </row>
    <row r="616" spans="58:59">
      <c r="BF616" s="105"/>
      <c r="BG616" s="105"/>
    </row>
    <row r="617" spans="58:59">
      <c r="BF617" s="105"/>
      <c r="BG617" s="105"/>
    </row>
    <row r="618" spans="58:59">
      <c r="BF618" s="105"/>
      <c r="BG618" s="105"/>
    </row>
    <row r="619" spans="58:59">
      <c r="BF619" s="105"/>
      <c r="BG619" s="105"/>
    </row>
    <row r="620" spans="58:59">
      <c r="BF620" s="105"/>
      <c r="BG620" s="105"/>
    </row>
    <row r="621" spans="58:59">
      <c r="BF621" s="105"/>
      <c r="BG621" s="105"/>
    </row>
    <row r="622" spans="58:59">
      <c r="BF622" s="105"/>
      <c r="BG622" s="105"/>
    </row>
    <row r="623" spans="58:59">
      <c r="BF623" s="105"/>
      <c r="BG623" s="105"/>
    </row>
    <row r="624" spans="58:59">
      <c r="BF624" s="105"/>
      <c r="BG624" s="105"/>
    </row>
    <row r="625" spans="58:59">
      <c r="BF625" s="105"/>
      <c r="BG625" s="105"/>
    </row>
    <row r="626" spans="58:59">
      <c r="BF626" s="105"/>
      <c r="BG626" s="105"/>
    </row>
    <row r="627" spans="58:59">
      <c r="BF627" s="105"/>
      <c r="BG627" s="105"/>
    </row>
    <row r="628" spans="58:59">
      <c r="BF628" s="105"/>
      <c r="BG628" s="105"/>
    </row>
    <row r="629" spans="58:59">
      <c r="BF629" s="105"/>
      <c r="BG629" s="105"/>
    </row>
    <row r="630" spans="58:59">
      <c r="BF630" s="105"/>
      <c r="BG630" s="105"/>
    </row>
    <row r="631" spans="58:59">
      <c r="BF631" s="105"/>
      <c r="BG631" s="105"/>
    </row>
    <row r="632" spans="58:59">
      <c r="BF632" s="105"/>
      <c r="BG632" s="105"/>
    </row>
    <row r="633" spans="58:59">
      <c r="BF633" s="105"/>
      <c r="BG633" s="105"/>
    </row>
    <row r="634" spans="58:59">
      <c r="BF634" s="105"/>
      <c r="BG634" s="105"/>
    </row>
    <row r="635" spans="58:59">
      <c r="BF635" s="105"/>
      <c r="BG635" s="105"/>
    </row>
    <row r="636" spans="58:59">
      <c r="BF636" s="105"/>
      <c r="BG636" s="105"/>
    </row>
    <row r="637" spans="58:59">
      <c r="BF637" s="105"/>
      <c r="BG637" s="105"/>
    </row>
    <row r="638" spans="58:59">
      <c r="BF638" s="105"/>
      <c r="BG638" s="105"/>
    </row>
    <row r="639" spans="58:59">
      <c r="BF639" s="105"/>
      <c r="BG639" s="105"/>
    </row>
    <row r="640" spans="58:59">
      <c r="BF640" s="105"/>
      <c r="BG640" s="105"/>
    </row>
    <row r="641" spans="58:59">
      <c r="BF641" s="105"/>
      <c r="BG641" s="105"/>
    </row>
    <row r="642" spans="58:59">
      <c r="BF642" s="105"/>
      <c r="BG642" s="105"/>
    </row>
    <row r="643" spans="58:59">
      <c r="BF643" s="105"/>
      <c r="BG643" s="105"/>
    </row>
    <row r="644" spans="58:59">
      <c r="BF644" s="105"/>
      <c r="BG644" s="105"/>
    </row>
    <row r="645" spans="58:59">
      <c r="BF645" s="105"/>
      <c r="BG645" s="105"/>
    </row>
    <row r="646" spans="58:59">
      <c r="BF646" s="105"/>
      <c r="BG646" s="105"/>
    </row>
    <row r="647" spans="58:59">
      <c r="BF647" s="105"/>
      <c r="BG647" s="105"/>
    </row>
    <row r="648" spans="58:59">
      <c r="BF648" s="105"/>
      <c r="BG648" s="105"/>
    </row>
    <row r="649" spans="58:59">
      <c r="BF649" s="105"/>
      <c r="BG649" s="105"/>
    </row>
    <row r="650" spans="58:59">
      <c r="BF650" s="105"/>
      <c r="BG650" s="105"/>
    </row>
    <row r="651" spans="58:59">
      <c r="BF651" s="105"/>
      <c r="BG651" s="105"/>
    </row>
    <row r="652" spans="58:59">
      <c r="BF652" s="105"/>
      <c r="BG652" s="105"/>
    </row>
    <row r="653" spans="58:59">
      <c r="BF653" s="105"/>
      <c r="BG653" s="105"/>
    </row>
    <row r="654" spans="58:59">
      <c r="BF654" s="105"/>
      <c r="BG654" s="105"/>
    </row>
    <row r="655" spans="58:59">
      <c r="BF655" s="105"/>
      <c r="BG655" s="105"/>
    </row>
    <row r="656" spans="58:59">
      <c r="BF656" s="105"/>
      <c r="BG656" s="105"/>
    </row>
    <row r="657" spans="58:59">
      <c r="BF657" s="105"/>
      <c r="BG657" s="105"/>
    </row>
    <row r="658" spans="58:59">
      <c r="BF658" s="105"/>
      <c r="BG658" s="105"/>
    </row>
    <row r="659" spans="58:59">
      <c r="BF659" s="105"/>
      <c r="BG659" s="105"/>
    </row>
    <row r="660" spans="58:59">
      <c r="BF660" s="105"/>
      <c r="BG660" s="105"/>
    </row>
    <row r="661" spans="58:59">
      <c r="BF661" s="105"/>
      <c r="BG661" s="105"/>
    </row>
    <row r="662" spans="58:59">
      <c r="BF662" s="105"/>
      <c r="BG662" s="105"/>
    </row>
    <row r="663" spans="58:59">
      <c r="BF663" s="105"/>
      <c r="BG663" s="105"/>
    </row>
    <row r="664" spans="58:59">
      <c r="BF664" s="105"/>
      <c r="BG664" s="105"/>
    </row>
    <row r="665" spans="58:59">
      <c r="BF665" s="105"/>
      <c r="BG665" s="105"/>
    </row>
    <row r="666" spans="58:59">
      <c r="BF666" s="105"/>
      <c r="BG666" s="105"/>
    </row>
    <row r="667" spans="58:59">
      <c r="BF667" s="105"/>
      <c r="BG667" s="105"/>
    </row>
    <row r="668" spans="58:59">
      <c r="BF668" s="105"/>
      <c r="BG668" s="105"/>
    </row>
    <row r="669" spans="58:59">
      <c r="BF669" s="105"/>
      <c r="BG669" s="105"/>
    </row>
    <row r="670" spans="58:59">
      <c r="BF670" s="105"/>
      <c r="BG670" s="105"/>
    </row>
    <row r="671" spans="58:59">
      <c r="BF671" s="105"/>
      <c r="BG671" s="105"/>
    </row>
    <row r="672" spans="58:59">
      <c r="BF672" s="105"/>
      <c r="BG672" s="105"/>
    </row>
    <row r="673" spans="58:59">
      <c r="BF673" s="105"/>
      <c r="BG673" s="105"/>
    </row>
    <row r="674" spans="58:59">
      <c r="BF674" s="105"/>
      <c r="BG674" s="105"/>
    </row>
    <row r="675" spans="58:59">
      <c r="BF675" s="105"/>
      <c r="BG675" s="105"/>
    </row>
    <row r="676" spans="58:59">
      <c r="BF676" s="105"/>
      <c r="BG676" s="105"/>
    </row>
    <row r="677" spans="58:59">
      <c r="BF677" s="105"/>
      <c r="BG677" s="105"/>
    </row>
    <row r="678" spans="58:59">
      <c r="BF678" s="105"/>
      <c r="BG678" s="105"/>
    </row>
    <row r="679" spans="58:59">
      <c r="BF679" s="105"/>
      <c r="BG679" s="105"/>
    </row>
    <row r="680" spans="58:59">
      <c r="BF680" s="105"/>
      <c r="BG680" s="105"/>
    </row>
    <row r="681" spans="58:59">
      <c r="BF681" s="105"/>
      <c r="BG681" s="105"/>
    </row>
    <row r="682" spans="58:59">
      <c r="BF682" s="105"/>
      <c r="BG682" s="105"/>
    </row>
    <row r="683" spans="58:59">
      <c r="BF683" s="105"/>
      <c r="BG683" s="105"/>
    </row>
    <row r="684" spans="58:59">
      <c r="BF684" s="105"/>
      <c r="BG684" s="105"/>
    </row>
    <row r="685" spans="58:59">
      <c r="BF685" s="105"/>
      <c r="BG685" s="105"/>
    </row>
    <row r="686" spans="58:59">
      <c r="BF686" s="105"/>
      <c r="BG686" s="105"/>
    </row>
    <row r="687" spans="58:59">
      <c r="BF687" s="105"/>
      <c r="BG687" s="105"/>
    </row>
    <row r="688" spans="58:59">
      <c r="BF688" s="105"/>
      <c r="BG688" s="105"/>
    </row>
    <row r="689" spans="58:59">
      <c r="BF689" s="105"/>
      <c r="BG689" s="105"/>
    </row>
    <row r="690" spans="58:59">
      <c r="BF690" s="105"/>
      <c r="BG690" s="105"/>
    </row>
    <row r="691" spans="58:59">
      <c r="BF691" s="105"/>
      <c r="BG691" s="105"/>
    </row>
    <row r="692" spans="58:59">
      <c r="BF692" s="105"/>
      <c r="BG692" s="105"/>
    </row>
    <row r="693" spans="58:59">
      <c r="BF693" s="105"/>
      <c r="BG693" s="105"/>
    </row>
    <row r="694" spans="58:59">
      <c r="BF694" s="105"/>
      <c r="BG694" s="105"/>
    </row>
    <row r="695" spans="58:59">
      <c r="BF695" s="105"/>
      <c r="BG695" s="105"/>
    </row>
    <row r="696" spans="58:59">
      <c r="BF696" s="105"/>
      <c r="BG696" s="105"/>
    </row>
    <row r="697" spans="58:59">
      <c r="BF697" s="105"/>
      <c r="BG697" s="105"/>
    </row>
    <row r="698" spans="58:59">
      <c r="BF698" s="105"/>
      <c r="BG698" s="105"/>
    </row>
    <row r="699" spans="58:59">
      <c r="BF699" s="105"/>
      <c r="BG699" s="105"/>
    </row>
    <row r="700" spans="58:59">
      <c r="BF700" s="105"/>
      <c r="BG700" s="105"/>
    </row>
    <row r="701" spans="58:59">
      <c r="BF701" s="105"/>
      <c r="BG701" s="105"/>
    </row>
    <row r="702" spans="58:59">
      <c r="BF702" s="105"/>
      <c r="BG702" s="105"/>
    </row>
    <row r="703" spans="58:59">
      <c r="BF703" s="105"/>
      <c r="BG703" s="105"/>
    </row>
    <row r="704" spans="58:59">
      <c r="BF704" s="105"/>
      <c r="BG704" s="105"/>
    </row>
    <row r="705" spans="58:59">
      <c r="BF705" s="105"/>
      <c r="BG705" s="105"/>
    </row>
    <row r="706" spans="58:59">
      <c r="BF706" s="105"/>
      <c r="BG706" s="105"/>
    </row>
    <row r="707" spans="58:59">
      <c r="BF707" s="105"/>
      <c r="BG707" s="105"/>
    </row>
    <row r="708" spans="58:59">
      <c r="BF708" s="105"/>
      <c r="BG708" s="105"/>
    </row>
    <row r="709" spans="58:59">
      <c r="BF709" s="105"/>
      <c r="BG709" s="105"/>
    </row>
    <row r="710" spans="58:59">
      <c r="BF710" s="105"/>
      <c r="BG710" s="105"/>
    </row>
    <row r="711" spans="58:59">
      <c r="BF711" s="105"/>
      <c r="BG711" s="105"/>
    </row>
    <row r="712" spans="58:59">
      <c r="BF712" s="105"/>
      <c r="BG712" s="105"/>
    </row>
    <row r="713" spans="58:59">
      <c r="BF713" s="105"/>
      <c r="BG713" s="105"/>
    </row>
    <row r="714" spans="58:59">
      <c r="BF714" s="105"/>
      <c r="BG714" s="105"/>
    </row>
    <row r="715" spans="58:59">
      <c r="BF715" s="105"/>
      <c r="BG715" s="105"/>
    </row>
    <row r="716" spans="58:59">
      <c r="BF716" s="105"/>
      <c r="BG716" s="105"/>
    </row>
    <row r="717" spans="58:59">
      <c r="BF717" s="105"/>
      <c r="BG717" s="105"/>
    </row>
    <row r="718" spans="58:59">
      <c r="BF718" s="105"/>
      <c r="BG718" s="105"/>
    </row>
    <row r="719" spans="58:59">
      <c r="BF719" s="105"/>
      <c r="BG719" s="105"/>
    </row>
    <row r="720" spans="58:59">
      <c r="BF720" s="105"/>
      <c r="BG720" s="105"/>
    </row>
    <row r="721" spans="58:59">
      <c r="BF721" s="105"/>
      <c r="BG721" s="105"/>
    </row>
    <row r="722" spans="58:59">
      <c r="BF722" s="105"/>
      <c r="BG722" s="105"/>
    </row>
    <row r="723" spans="58:59">
      <c r="BF723" s="105"/>
      <c r="BG723" s="105"/>
    </row>
    <row r="724" spans="58:59">
      <c r="BF724" s="105"/>
      <c r="BG724" s="105"/>
    </row>
    <row r="725" spans="58:59">
      <c r="BF725" s="105"/>
      <c r="BG725" s="105"/>
    </row>
    <row r="726" spans="58:59">
      <c r="BF726" s="105"/>
      <c r="BG726" s="105"/>
    </row>
    <row r="727" spans="58:59">
      <c r="BF727" s="105"/>
      <c r="BG727" s="105"/>
    </row>
    <row r="728" spans="58:59">
      <c r="BF728" s="105"/>
      <c r="BG728" s="105"/>
    </row>
    <row r="729" spans="58:59">
      <c r="BF729" s="105"/>
      <c r="BG729" s="105"/>
    </row>
    <row r="730" spans="58:59">
      <c r="BF730" s="105"/>
      <c r="BG730" s="105"/>
    </row>
    <row r="731" spans="58:59">
      <c r="BF731" s="105"/>
      <c r="BG731" s="105"/>
    </row>
    <row r="732" spans="58:59">
      <c r="BF732" s="105"/>
      <c r="BG732" s="105"/>
    </row>
    <row r="733" spans="58:59">
      <c r="BF733" s="105"/>
      <c r="BG733" s="105"/>
    </row>
    <row r="734" spans="58:59">
      <c r="BF734" s="105"/>
      <c r="BG734" s="105"/>
    </row>
    <row r="735" spans="58:59">
      <c r="BF735" s="105"/>
      <c r="BG735" s="105"/>
    </row>
    <row r="736" spans="58:59">
      <c r="BF736" s="105"/>
      <c r="BG736" s="105"/>
    </row>
    <row r="737" spans="58:59">
      <c r="BF737" s="105"/>
      <c r="BG737" s="105"/>
    </row>
    <row r="738" spans="58:59">
      <c r="BF738" s="105"/>
      <c r="BG738" s="105"/>
    </row>
    <row r="739" spans="58:59">
      <c r="BF739" s="105"/>
      <c r="BG739" s="105"/>
    </row>
    <row r="740" spans="58:59">
      <c r="BF740" s="105"/>
      <c r="BG740" s="105"/>
    </row>
    <row r="741" spans="58:59">
      <c r="BF741" s="105"/>
      <c r="BG741" s="105"/>
    </row>
    <row r="742" spans="58:59">
      <c r="BF742" s="105"/>
      <c r="BG742" s="105"/>
    </row>
    <row r="743" spans="58:59">
      <c r="BF743" s="105"/>
      <c r="BG743" s="105"/>
    </row>
    <row r="744" spans="58:59">
      <c r="BF744" s="105"/>
      <c r="BG744" s="105"/>
    </row>
    <row r="745" spans="58:59">
      <c r="BF745" s="105"/>
      <c r="BG745" s="105"/>
    </row>
    <row r="746" spans="58:59">
      <c r="BF746" s="105"/>
      <c r="BG746" s="105"/>
    </row>
    <row r="747" spans="58:59">
      <c r="BF747" s="105"/>
      <c r="BG747" s="105"/>
    </row>
    <row r="748" spans="58:59">
      <c r="BF748" s="105"/>
      <c r="BG748" s="105"/>
    </row>
    <row r="749" spans="58:59">
      <c r="BF749" s="105"/>
      <c r="BG749" s="105"/>
    </row>
    <row r="750" spans="58:59">
      <c r="BF750" s="105"/>
      <c r="BG750" s="105"/>
    </row>
    <row r="751" spans="58:59">
      <c r="BF751" s="105"/>
      <c r="BG751" s="105"/>
    </row>
    <row r="752" spans="58:59">
      <c r="BF752" s="105"/>
      <c r="BG752" s="105"/>
    </row>
    <row r="753" spans="58:59">
      <c r="BF753" s="105"/>
      <c r="BG753" s="105"/>
    </row>
    <row r="754" spans="58:59">
      <c r="BF754" s="105"/>
      <c r="BG754" s="105"/>
    </row>
    <row r="755" spans="58:59">
      <c r="BF755" s="105"/>
      <c r="BG755" s="105"/>
    </row>
    <row r="756" spans="58:59">
      <c r="BF756" s="105"/>
      <c r="BG756" s="105"/>
    </row>
    <row r="757" spans="58:59">
      <c r="BF757" s="105"/>
      <c r="BG757" s="105"/>
    </row>
    <row r="758" spans="58:59">
      <c r="BF758" s="105"/>
      <c r="BG758" s="105"/>
    </row>
    <row r="759" spans="58:59">
      <c r="BF759" s="105"/>
      <c r="BG759" s="105"/>
    </row>
    <row r="760" spans="58:59">
      <c r="BF760" s="105"/>
      <c r="BG760" s="105"/>
    </row>
    <row r="761" spans="58:59">
      <c r="BF761" s="105"/>
      <c r="BG761" s="105"/>
    </row>
    <row r="762" spans="58:59">
      <c r="BF762" s="105"/>
      <c r="BG762" s="105"/>
    </row>
    <row r="763" spans="58:59">
      <c r="BF763" s="105"/>
      <c r="BG763" s="105"/>
    </row>
    <row r="764" spans="58:59">
      <c r="BF764" s="105"/>
      <c r="BG764" s="105"/>
    </row>
    <row r="765" spans="58:59">
      <c r="BF765" s="105"/>
      <c r="BG765" s="105"/>
    </row>
    <row r="766" spans="58:59">
      <c r="BF766" s="105"/>
      <c r="BG766" s="105"/>
    </row>
    <row r="767" spans="58:59">
      <c r="BF767" s="105"/>
      <c r="BG767" s="105"/>
    </row>
    <row r="768" spans="58:59">
      <c r="BF768" s="105"/>
      <c r="BG768" s="105"/>
    </row>
    <row r="769" spans="58:59">
      <c r="BF769" s="105"/>
      <c r="BG769" s="105"/>
    </row>
    <row r="770" spans="58:59">
      <c r="BF770" s="105"/>
      <c r="BG770" s="105"/>
    </row>
    <row r="771" spans="58:59">
      <c r="BF771" s="105"/>
      <c r="BG771" s="105"/>
    </row>
    <row r="772" spans="58:59">
      <c r="BF772" s="105"/>
      <c r="BG772" s="105"/>
    </row>
    <row r="773" spans="58:59">
      <c r="BF773" s="105"/>
      <c r="BG773" s="105"/>
    </row>
    <row r="774" spans="58:59">
      <c r="BF774" s="105"/>
      <c r="BG774" s="105"/>
    </row>
    <row r="775" spans="58:59">
      <c r="BF775" s="105"/>
      <c r="BG775" s="105"/>
    </row>
    <row r="776" spans="58:59">
      <c r="BF776" s="105"/>
      <c r="BG776" s="105"/>
    </row>
    <row r="777" spans="58:59">
      <c r="BF777" s="105"/>
      <c r="BG777" s="105"/>
    </row>
    <row r="778" spans="58:59">
      <c r="BF778" s="105"/>
      <c r="BG778" s="105"/>
    </row>
    <row r="779" spans="58:59">
      <c r="BF779" s="105"/>
      <c r="BG779" s="105"/>
    </row>
    <row r="780" spans="58:59">
      <c r="BF780" s="105"/>
      <c r="BG780" s="105"/>
    </row>
    <row r="781" spans="58:59">
      <c r="BF781" s="105"/>
      <c r="BG781" s="105"/>
    </row>
    <row r="782" spans="58:59">
      <c r="BF782" s="105"/>
      <c r="BG782" s="105"/>
    </row>
    <row r="783" spans="58:59">
      <c r="BF783" s="105"/>
      <c r="BG783" s="105"/>
    </row>
    <row r="784" spans="58:59">
      <c r="BF784" s="105"/>
      <c r="BG784" s="105"/>
    </row>
    <row r="785" spans="58:59">
      <c r="BF785" s="105"/>
      <c r="BG785" s="105"/>
    </row>
    <row r="786" spans="58:59">
      <c r="BF786" s="105"/>
      <c r="BG786" s="105"/>
    </row>
    <row r="787" spans="58:59">
      <c r="BF787" s="105"/>
      <c r="BG787" s="105"/>
    </row>
    <row r="788" spans="58:59">
      <c r="BF788" s="105"/>
      <c r="BG788" s="105"/>
    </row>
    <row r="789" spans="58:59">
      <c r="BF789" s="105"/>
      <c r="BG789" s="105"/>
    </row>
    <row r="790" spans="58:59">
      <c r="BF790" s="105"/>
      <c r="BG790" s="105"/>
    </row>
    <row r="791" spans="58:59">
      <c r="BF791" s="105"/>
      <c r="BG791" s="105"/>
    </row>
    <row r="792" spans="58:59">
      <c r="BF792" s="105"/>
      <c r="BG792" s="105"/>
    </row>
    <row r="793" spans="58:59">
      <c r="BF793" s="105"/>
      <c r="BG793" s="105"/>
    </row>
    <row r="794" spans="58:59">
      <c r="BF794" s="105"/>
      <c r="BG794" s="105"/>
    </row>
    <row r="795" spans="58:59">
      <c r="BF795" s="105"/>
      <c r="BG795" s="105"/>
    </row>
    <row r="796" spans="58:59">
      <c r="BF796" s="105"/>
      <c r="BG796" s="105"/>
    </row>
    <row r="797" spans="58:59">
      <c r="BF797" s="105"/>
      <c r="BG797" s="105"/>
    </row>
    <row r="798" spans="58:59">
      <c r="BF798" s="105"/>
      <c r="BG798" s="105"/>
    </row>
    <row r="799" spans="58:59">
      <c r="BF799" s="105"/>
      <c r="BG799" s="105"/>
    </row>
    <row r="800" spans="58:59">
      <c r="BF800" s="105"/>
      <c r="BG800" s="105"/>
    </row>
    <row r="801" spans="58:59">
      <c r="BF801" s="105"/>
      <c r="BG801" s="105"/>
    </row>
    <row r="802" spans="58:59">
      <c r="BF802" s="105"/>
      <c r="BG802" s="105"/>
    </row>
    <row r="803" spans="58:59">
      <c r="BF803" s="105"/>
      <c r="BG803" s="105"/>
    </row>
    <row r="804" spans="58:59">
      <c r="BF804" s="105"/>
      <c r="BG804" s="105"/>
    </row>
    <row r="805" spans="58:59">
      <c r="BF805" s="105"/>
      <c r="BG805" s="105"/>
    </row>
    <row r="806" spans="58:59">
      <c r="BF806" s="105"/>
      <c r="BG806" s="105"/>
    </row>
    <row r="807" spans="58:59">
      <c r="BF807" s="105"/>
      <c r="BG807" s="105"/>
    </row>
    <row r="808" spans="58:59">
      <c r="BF808" s="105"/>
      <c r="BG808" s="105"/>
    </row>
    <row r="809" spans="58:59">
      <c r="BF809" s="105"/>
      <c r="BG809" s="105"/>
    </row>
    <row r="810" spans="58:59">
      <c r="BF810" s="105"/>
      <c r="BG810" s="105"/>
    </row>
    <row r="811" spans="58:59">
      <c r="BF811" s="105"/>
      <c r="BG811" s="105"/>
    </row>
    <row r="812" spans="58:59">
      <c r="BF812" s="105"/>
      <c r="BG812" s="105"/>
    </row>
    <row r="813" spans="58:59">
      <c r="BF813" s="105"/>
      <c r="BG813" s="105"/>
    </row>
    <row r="814" spans="58:59">
      <c r="BF814" s="105"/>
      <c r="BG814" s="105"/>
    </row>
    <row r="815" spans="58:59">
      <c r="BF815" s="105"/>
      <c r="BG815" s="105"/>
    </row>
    <row r="816" spans="58:59">
      <c r="BF816" s="105"/>
      <c r="BG816" s="105"/>
    </row>
    <row r="817" spans="58:59">
      <c r="BF817" s="105"/>
      <c r="BG817" s="105"/>
    </row>
    <row r="818" spans="58:59">
      <c r="BF818" s="105"/>
      <c r="BG818" s="105"/>
    </row>
    <row r="819" spans="58:59">
      <c r="BF819" s="105"/>
      <c r="BG819" s="105"/>
    </row>
    <row r="820" spans="58:59">
      <c r="BF820" s="105"/>
      <c r="BG820" s="105"/>
    </row>
    <row r="821" spans="58:59">
      <c r="BF821" s="105"/>
      <c r="BG821" s="105"/>
    </row>
    <row r="822" spans="58:59">
      <c r="BF822" s="105"/>
      <c r="BG822" s="105"/>
    </row>
    <row r="823" spans="58:59">
      <c r="BF823" s="105"/>
      <c r="BG823" s="105"/>
    </row>
    <row r="824" spans="58:59">
      <c r="BF824" s="105"/>
      <c r="BG824" s="105"/>
    </row>
    <row r="825" spans="58:59">
      <c r="BF825" s="105"/>
      <c r="BG825" s="105"/>
    </row>
    <row r="826" spans="58:59">
      <c r="BF826" s="105"/>
      <c r="BG826" s="105"/>
    </row>
    <row r="827" spans="58:59">
      <c r="BF827" s="105"/>
      <c r="BG827" s="105"/>
    </row>
    <row r="828" spans="58:59">
      <c r="BF828" s="105"/>
      <c r="BG828" s="105"/>
    </row>
    <row r="829" spans="58:59">
      <c r="BF829" s="105"/>
      <c r="BG829" s="105"/>
    </row>
    <row r="830" spans="58:59">
      <c r="BF830" s="105"/>
      <c r="BG830" s="105"/>
    </row>
    <row r="831" spans="58:59">
      <c r="BF831" s="105"/>
      <c r="BG831" s="105"/>
    </row>
    <row r="832" spans="58:59">
      <c r="BF832" s="105"/>
      <c r="BG832" s="105"/>
    </row>
    <row r="833" spans="58:59">
      <c r="BF833" s="105"/>
      <c r="BG833" s="105"/>
    </row>
    <row r="834" spans="58:59">
      <c r="BF834" s="105"/>
      <c r="BG834" s="105"/>
    </row>
    <row r="835" spans="58:59">
      <c r="BF835" s="105"/>
      <c r="BG835" s="105"/>
    </row>
    <row r="836" spans="58:59">
      <c r="BF836" s="105"/>
      <c r="BG836" s="105"/>
    </row>
    <row r="837" spans="58:59">
      <c r="BF837" s="105"/>
      <c r="BG837" s="105"/>
    </row>
    <row r="838" spans="58:59">
      <c r="BF838" s="105"/>
      <c r="BG838" s="105"/>
    </row>
    <row r="839" spans="58:59">
      <c r="BF839" s="105"/>
      <c r="BG839" s="105"/>
    </row>
    <row r="840" spans="58:59">
      <c r="BF840" s="105"/>
      <c r="BG840" s="105"/>
    </row>
    <row r="841" spans="58:59">
      <c r="BF841" s="105"/>
      <c r="BG841" s="105"/>
    </row>
    <row r="842" spans="58:59">
      <c r="BF842" s="105"/>
      <c r="BG842" s="105"/>
    </row>
    <row r="843" spans="58:59">
      <c r="BF843" s="105"/>
      <c r="BG843" s="105"/>
    </row>
    <row r="844" spans="58:59">
      <c r="BF844" s="105"/>
      <c r="BG844" s="105"/>
    </row>
    <row r="845" spans="58:59">
      <c r="BF845" s="105"/>
      <c r="BG845" s="105"/>
    </row>
    <row r="846" spans="58:59">
      <c r="BF846" s="105"/>
      <c r="BG846" s="105"/>
    </row>
    <row r="847" spans="58:59">
      <c r="BF847" s="105"/>
      <c r="BG847" s="105"/>
    </row>
    <row r="848" spans="58:59">
      <c r="BF848" s="105"/>
      <c r="BG848" s="105"/>
    </row>
    <row r="849" spans="58:59">
      <c r="BF849" s="105"/>
      <c r="BG849" s="105"/>
    </row>
    <row r="850" spans="58:59">
      <c r="BF850" s="105"/>
      <c r="BG850" s="105"/>
    </row>
    <row r="851" spans="58:59">
      <c r="BF851" s="105"/>
      <c r="BG851" s="105"/>
    </row>
    <row r="852" spans="58:59">
      <c r="BF852" s="105"/>
      <c r="BG852" s="105"/>
    </row>
    <row r="853" spans="58:59">
      <c r="BF853" s="105"/>
      <c r="BG853" s="105"/>
    </row>
    <row r="854" spans="58:59">
      <c r="BF854" s="105"/>
      <c r="BG854" s="105"/>
    </row>
    <row r="855" spans="58:59">
      <c r="BF855" s="105"/>
      <c r="BG855" s="105"/>
    </row>
    <row r="856" spans="58:59">
      <c r="BF856" s="105"/>
      <c r="BG856" s="105"/>
    </row>
    <row r="857" spans="58:59">
      <c r="BF857" s="105"/>
      <c r="BG857" s="105"/>
    </row>
    <row r="858" spans="58:59">
      <c r="BF858" s="105"/>
      <c r="BG858" s="105"/>
    </row>
    <row r="859" spans="58:59">
      <c r="BF859" s="105"/>
      <c r="BG859" s="105"/>
    </row>
    <row r="860" spans="58:59">
      <c r="BF860" s="105"/>
      <c r="BG860" s="105"/>
    </row>
    <row r="861" spans="58:59">
      <c r="BF861" s="105"/>
      <c r="BG861" s="105"/>
    </row>
    <row r="862" spans="58:59">
      <c r="BF862" s="105"/>
      <c r="BG862" s="105"/>
    </row>
    <row r="863" spans="58:59">
      <c r="BF863" s="105"/>
      <c r="BG863" s="105"/>
    </row>
    <row r="864" spans="58:59">
      <c r="BF864" s="105"/>
      <c r="BG864" s="105"/>
    </row>
    <row r="865" spans="58:59">
      <c r="BF865" s="105"/>
      <c r="BG865" s="105"/>
    </row>
    <row r="866" spans="58:59">
      <c r="BF866" s="105"/>
      <c r="BG866" s="105"/>
    </row>
    <row r="867" spans="58:59">
      <c r="BF867" s="105"/>
      <c r="BG867" s="105"/>
    </row>
    <row r="868" spans="58:59">
      <c r="BF868" s="105"/>
      <c r="BG868" s="105"/>
    </row>
    <row r="869" spans="58:59">
      <c r="BF869" s="105"/>
      <c r="BG869" s="105"/>
    </row>
    <row r="870" spans="58:59">
      <c r="BF870" s="105"/>
      <c r="BG870" s="105"/>
    </row>
    <row r="871" spans="58:59">
      <c r="BF871" s="105"/>
      <c r="BG871" s="105"/>
    </row>
    <row r="872" spans="58:59">
      <c r="BF872" s="105"/>
      <c r="BG872" s="105"/>
    </row>
    <row r="873" spans="58:59">
      <c r="BF873" s="105"/>
      <c r="BG873" s="105"/>
    </row>
    <row r="874" spans="58:59">
      <c r="BF874" s="105"/>
      <c r="BG874" s="105"/>
    </row>
    <row r="875" spans="58:59">
      <c r="BF875" s="105"/>
      <c r="BG875" s="105"/>
    </row>
    <row r="876" spans="58:59">
      <c r="BF876" s="105"/>
      <c r="BG876" s="105"/>
    </row>
    <row r="877" spans="58:59">
      <c r="BF877" s="105"/>
      <c r="BG877" s="105"/>
    </row>
    <row r="878" spans="58:59">
      <c r="BF878" s="105"/>
      <c r="BG878" s="105"/>
    </row>
    <row r="879" spans="58:59">
      <c r="BF879" s="105"/>
      <c r="BG879" s="105"/>
    </row>
    <row r="880" spans="58:59">
      <c r="BF880" s="105"/>
      <c r="BG880" s="105"/>
    </row>
    <row r="881" spans="58:59">
      <c r="BF881" s="105"/>
      <c r="BG881" s="105"/>
    </row>
    <row r="882" spans="58:59">
      <c r="BF882" s="105"/>
      <c r="BG882" s="105"/>
    </row>
    <row r="883" spans="58:59">
      <c r="BF883" s="105"/>
      <c r="BG883" s="105"/>
    </row>
    <row r="884" spans="58:59">
      <c r="BF884" s="105"/>
      <c r="BG884" s="105"/>
    </row>
    <row r="885" spans="58:59">
      <c r="BF885" s="105"/>
      <c r="BG885" s="105"/>
    </row>
    <row r="886" spans="58:59">
      <c r="BF886" s="105"/>
      <c r="BG886" s="105"/>
    </row>
    <row r="887" spans="58:59">
      <c r="BF887" s="105"/>
      <c r="BG887" s="105"/>
    </row>
    <row r="888" spans="58:59">
      <c r="BF888" s="105"/>
      <c r="BG888" s="105"/>
    </row>
    <row r="889" spans="58:59">
      <c r="BF889" s="105"/>
      <c r="BG889" s="105"/>
    </row>
    <row r="890" spans="58:59">
      <c r="BF890" s="105"/>
      <c r="BG890" s="105"/>
    </row>
    <row r="891" spans="58:59">
      <c r="BF891" s="105"/>
      <c r="BG891" s="105"/>
    </row>
    <row r="892" spans="58:59">
      <c r="BF892" s="105"/>
      <c r="BG892" s="105"/>
    </row>
    <row r="893" spans="58:59">
      <c r="BF893" s="105"/>
      <c r="BG893" s="105"/>
    </row>
    <row r="894" spans="58:59">
      <c r="BF894" s="105"/>
      <c r="BG894" s="105"/>
    </row>
    <row r="895" spans="58:59">
      <c r="BF895" s="105"/>
      <c r="BG895" s="105"/>
    </row>
    <row r="896" spans="58:59">
      <c r="BF896" s="105"/>
      <c r="BG896" s="105"/>
    </row>
    <row r="897" spans="58:59">
      <c r="BF897" s="105"/>
      <c r="BG897" s="105"/>
    </row>
    <row r="898" spans="58:59">
      <c r="BF898" s="105"/>
      <c r="BG898" s="105"/>
    </row>
    <row r="899" spans="58:59">
      <c r="BF899" s="105"/>
      <c r="BG899" s="105"/>
    </row>
    <row r="900" spans="58:59">
      <c r="BF900" s="105"/>
      <c r="BG900" s="105"/>
    </row>
    <row r="901" spans="58:59">
      <c r="BF901" s="105"/>
      <c r="BG901" s="105"/>
    </row>
    <row r="902" spans="58:59">
      <c r="BF902" s="105"/>
      <c r="BG902" s="105"/>
    </row>
    <row r="903" spans="58:59">
      <c r="BF903" s="105"/>
      <c r="BG903" s="105"/>
    </row>
    <row r="904" spans="58:59">
      <c r="BF904" s="105"/>
      <c r="BG904" s="105"/>
    </row>
    <row r="905" spans="58:59">
      <c r="BF905" s="105"/>
      <c r="BG905" s="105"/>
    </row>
    <row r="906" spans="58:59">
      <c r="BF906" s="105"/>
      <c r="BG906" s="105"/>
    </row>
    <row r="907" spans="58:59">
      <c r="BF907" s="105"/>
      <c r="BG907" s="105"/>
    </row>
    <row r="908" spans="58:59">
      <c r="BF908" s="105"/>
      <c r="BG908" s="105"/>
    </row>
    <row r="909" spans="58:59">
      <c r="BF909" s="105"/>
      <c r="BG909" s="105"/>
    </row>
    <row r="910" spans="58:59">
      <c r="BF910" s="105"/>
      <c r="BG910" s="105"/>
    </row>
    <row r="911" spans="58:59">
      <c r="BF911" s="105"/>
      <c r="BG911" s="105"/>
    </row>
    <row r="912" spans="58:59">
      <c r="BF912" s="105"/>
      <c r="BG912" s="105"/>
    </row>
    <row r="913" spans="58:59">
      <c r="BF913" s="105"/>
      <c r="BG913" s="105"/>
    </row>
    <row r="914" spans="58:59">
      <c r="BF914" s="105"/>
      <c r="BG914" s="105"/>
    </row>
    <row r="915" spans="58:59">
      <c r="BF915" s="105"/>
      <c r="BG915" s="105"/>
    </row>
    <row r="916" spans="58:59">
      <c r="BF916" s="105"/>
      <c r="BG916" s="105"/>
    </row>
    <row r="917" spans="58:59">
      <c r="BF917" s="105"/>
      <c r="BG917" s="105"/>
    </row>
    <row r="918" spans="58:59">
      <c r="BF918" s="105"/>
      <c r="BG918" s="105"/>
    </row>
    <row r="919" spans="58:59">
      <c r="BF919" s="105"/>
      <c r="BG919" s="105"/>
    </row>
    <row r="920" spans="58:59">
      <c r="BF920" s="105"/>
      <c r="BG920" s="105"/>
    </row>
    <row r="921" spans="58:59">
      <c r="BF921" s="105"/>
      <c r="BG921" s="105"/>
    </row>
    <row r="922" spans="58:59">
      <c r="BF922" s="105"/>
      <c r="BG922" s="105"/>
    </row>
    <row r="923" spans="58:59">
      <c r="BF923" s="105"/>
      <c r="BG923" s="105"/>
    </row>
    <row r="924" spans="58:59">
      <c r="BF924" s="105"/>
      <c r="BG924" s="105"/>
    </row>
    <row r="925" spans="58:59">
      <c r="BF925" s="105"/>
      <c r="BG925" s="105"/>
    </row>
    <row r="926" spans="58:59">
      <c r="BF926" s="105"/>
      <c r="BG926" s="105"/>
    </row>
    <row r="927" spans="58:59">
      <c r="BF927" s="105"/>
      <c r="BG927" s="105"/>
    </row>
    <row r="928" spans="58:59">
      <c r="BF928" s="105"/>
      <c r="BG928" s="105"/>
    </row>
    <row r="929" spans="58:59">
      <c r="BF929" s="105"/>
      <c r="BG929" s="105"/>
    </row>
    <row r="930" spans="58:59">
      <c r="BF930" s="105"/>
      <c r="BG930" s="105"/>
    </row>
    <row r="931" spans="58:59">
      <c r="BF931" s="105"/>
      <c r="BG931" s="105"/>
    </row>
    <row r="932" spans="58:59">
      <c r="BF932" s="105"/>
      <c r="BG932" s="105"/>
    </row>
    <row r="933" spans="58:59">
      <c r="BF933" s="105"/>
      <c r="BG933" s="105"/>
    </row>
    <row r="934" spans="58:59">
      <c r="BF934" s="105"/>
      <c r="BG934" s="105"/>
    </row>
    <row r="935" spans="58:59">
      <c r="BF935" s="105"/>
      <c r="BG935" s="105"/>
    </row>
    <row r="936" spans="58:59">
      <c r="BF936" s="105"/>
      <c r="BG936" s="105"/>
    </row>
    <row r="937" spans="58:59">
      <c r="BF937" s="105"/>
      <c r="BG937" s="105"/>
    </row>
    <row r="938" spans="58:59">
      <c r="BF938" s="105"/>
      <c r="BG938" s="105"/>
    </row>
    <row r="939" spans="58:59">
      <c r="BF939" s="105"/>
      <c r="BG939" s="105"/>
    </row>
    <row r="940" spans="58:59">
      <c r="BF940" s="105"/>
      <c r="BG940" s="105"/>
    </row>
    <row r="941" spans="58:59">
      <c r="BF941" s="105"/>
      <c r="BG941" s="105"/>
    </row>
    <row r="942" spans="58:59">
      <c r="BF942" s="105"/>
      <c r="BG942" s="105"/>
    </row>
    <row r="943" spans="58:59">
      <c r="BF943" s="105"/>
      <c r="BG943" s="105"/>
    </row>
    <row r="944" spans="58:59">
      <c r="BF944" s="105"/>
      <c r="BG944" s="105"/>
    </row>
    <row r="945" spans="58:59">
      <c r="BF945" s="105"/>
      <c r="BG945" s="105"/>
    </row>
    <row r="946" spans="58:59">
      <c r="BF946" s="105"/>
      <c r="BG946" s="105"/>
    </row>
    <row r="947" spans="58:59">
      <c r="BF947" s="105"/>
      <c r="BG947" s="105"/>
    </row>
    <row r="948" spans="58:59">
      <c r="BF948" s="105"/>
      <c r="BG948" s="105"/>
    </row>
    <row r="949" spans="58:59">
      <c r="BF949" s="105"/>
      <c r="BG949" s="105"/>
    </row>
    <row r="950" spans="58:59">
      <c r="BF950" s="105"/>
      <c r="BG950" s="105"/>
    </row>
    <row r="951" spans="58:59">
      <c r="BF951" s="105"/>
      <c r="BG951" s="105"/>
    </row>
    <row r="952" spans="58:59">
      <c r="BF952" s="105"/>
      <c r="BG952" s="105"/>
    </row>
    <row r="953" spans="58:59">
      <c r="BF953" s="105"/>
      <c r="BG953" s="105"/>
    </row>
    <row r="954" spans="58:59">
      <c r="BF954" s="105"/>
      <c r="BG954" s="105"/>
    </row>
    <row r="955" spans="58:59">
      <c r="BF955" s="105"/>
      <c r="BG955" s="105"/>
    </row>
    <row r="956" spans="58:59">
      <c r="BF956" s="105"/>
      <c r="BG956" s="105"/>
    </row>
    <row r="957" spans="58:59">
      <c r="BF957" s="105"/>
      <c r="BG957" s="105"/>
    </row>
    <row r="958" spans="58:59">
      <c r="BF958" s="105"/>
      <c r="BG958" s="105"/>
    </row>
    <row r="959" spans="58:59">
      <c r="BF959" s="105"/>
      <c r="BG959" s="105"/>
    </row>
    <row r="960" spans="58:59">
      <c r="BF960" s="105"/>
      <c r="BG960" s="105"/>
    </row>
    <row r="961" spans="58:59">
      <c r="BF961" s="105"/>
      <c r="BG961" s="105"/>
    </row>
    <row r="962" spans="58:59">
      <c r="BF962" s="105"/>
      <c r="BG962" s="105"/>
    </row>
    <row r="963" spans="58:59">
      <c r="BF963" s="105"/>
      <c r="BG963" s="105"/>
    </row>
    <row r="964" spans="58:59">
      <c r="BF964" s="105"/>
      <c r="BG964" s="105"/>
    </row>
    <row r="965" spans="58:59">
      <c r="BF965" s="105"/>
      <c r="BG965" s="105"/>
    </row>
    <row r="966" spans="58:59">
      <c r="BF966" s="105"/>
      <c r="BG966" s="105"/>
    </row>
    <row r="967" spans="58:59">
      <c r="BF967" s="105"/>
      <c r="BG967" s="105"/>
    </row>
    <row r="968" spans="58:59">
      <c r="BF968" s="105"/>
      <c r="BG968" s="105"/>
    </row>
    <row r="969" spans="58:59">
      <c r="BF969" s="105"/>
      <c r="BG969" s="105"/>
    </row>
    <row r="970" spans="58:59">
      <c r="BF970" s="105"/>
      <c r="BG970" s="105"/>
    </row>
    <row r="971" spans="58:59">
      <c r="BF971" s="105"/>
      <c r="BG971" s="105"/>
    </row>
    <row r="972" spans="58:59">
      <c r="BF972" s="105"/>
      <c r="BG972" s="105"/>
    </row>
    <row r="973" spans="58:59">
      <c r="BF973" s="105"/>
      <c r="BG973" s="105"/>
    </row>
    <row r="974" spans="58:59">
      <c r="BF974" s="105"/>
      <c r="BG974" s="105"/>
    </row>
    <row r="975" spans="58:59">
      <c r="BF975" s="105"/>
      <c r="BG975" s="105"/>
    </row>
    <row r="976" spans="58:59">
      <c r="BF976" s="105"/>
      <c r="BG976" s="105"/>
    </row>
    <row r="977" spans="58:59">
      <c r="BF977" s="105"/>
      <c r="BG977" s="105"/>
    </row>
    <row r="978" spans="58:59">
      <c r="BF978" s="105"/>
      <c r="BG978" s="105"/>
    </row>
    <row r="979" spans="58:59">
      <c r="BF979" s="105"/>
      <c r="BG979" s="105"/>
    </row>
    <row r="980" spans="58:59">
      <c r="BF980" s="105"/>
      <c r="BG980" s="105"/>
    </row>
    <row r="981" spans="58:59">
      <c r="BF981" s="105"/>
      <c r="BG981" s="105"/>
    </row>
    <row r="982" spans="58:59">
      <c r="BF982" s="105"/>
      <c r="BG982" s="105"/>
    </row>
    <row r="983" spans="58:59">
      <c r="BF983" s="105"/>
      <c r="BG983" s="105"/>
    </row>
    <row r="984" spans="58:59">
      <c r="BF984" s="105"/>
      <c r="BG984" s="105"/>
    </row>
    <row r="985" spans="58:59">
      <c r="BF985" s="105"/>
      <c r="BG985" s="105"/>
    </row>
    <row r="986" spans="58:59">
      <c r="BF986" s="105"/>
      <c r="BG986" s="105"/>
    </row>
    <row r="987" spans="58:59">
      <c r="BF987" s="105"/>
      <c r="BG987" s="105"/>
    </row>
    <row r="988" spans="58:59">
      <c r="BF988" s="105"/>
      <c r="BG988" s="105"/>
    </row>
    <row r="989" spans="58:59">
      <c r="BF989" s="105"/>
      <c r="BG989" s="105"/>
    </row>
    <row r="990" spans="58:59">
      <c r="BF990" s="105"/>
      <c r="BG990" s="105"/>
    </row>
    <row r="991" spans="58:59">
      <c r="BF991" s="105"/>
      <c r="BG991" s="105"/>
    </row>
    <row r="992" spans="58:59">
      <c r="BF992" s="105"/>
      <c r="BG992" s="105"/>
    </row>
    <row r="993" spans="58:59">
      <c r="BF993" s="105"/>
      <c r="BG993" s="105"/>
    </row>
    <row r="994" spans="58:59">
      <c r="BF994" s="105"/>
      <c r="BG994" s="105"/>
    </row>
    <row r="995" spans="58:59">
      <c r="BF995" s="105"/>
      <c r="BG995" s="105"/>
    </row>
    <row r="996" spans="58:59">
      <c r="BF996" s="105"/>
      <c r="BG996" s="105"/>
    </row>
    <row r="997" spans="58:59">
      <c r="BF997" s="105"/>
      <c r="BG997" s="105"/>
    </row>
    <row r="998" spans="58:59">
      <c r="BF998" s="105"/>
      <c r="BG998" s="105"/>
    </row>
    <row r="999" spans="58:59">
      <c r="BF999" s="105"/>
      <c r="BG999" s="105"/>
    </row>
    <row r="1000" spans="58:59">
      <c r="BF1000" s="105"/>
      <c r="BG1000" s="105"/>
    </row>
    <row r="1001" spans="58:59">
      <c r="BF1001" s="105"/>
      <c r="BG1001" s="105"/>
    </row>
    <row r="1002" spans="58:59">
      <c r="BF1002" s="105"/>
      <c r="BG1002" s="105"/>
    </row>
    <row r="1003" spans="58:59">
      <c r="BF1003" s="105"/>
      <c r="BG1003" s="105"/>
    </row>
    <row r="1004" spans="58:59">
      <c r="BF1004" s="105"/>
      <c r="BG1004" s="105"/>
    </row>
    <row r="1005" spans="58:59">
      <c r="BF1005" s="105"/>
      <c r="BG1005" s="105"/>
    </row>
    <row r="1006" spans="58:59">
      <c r="BF1006" s="105"/>
      <c r="BG1006" s="105"/>
    </row>
    <row r="1007" spans="58:59">
      <c r="BF1007" s="105"/>
      <c r="BG1007" s="105"/>
    </row>
    <row r="1008" spans="58:59">
      <c r="BF1008" s="105"/>
      <c r="BG1008" s="105"/>
    </row>
    <row r="1009" spans="58:59">
      <c r="BF1009" s="105"/>
      <c r="BG1009" s="105"/>
    </row>
    <row r="1010" spans="58:59">
      <c r="BF1010" s="105"/>
      <c r="BG1010" s="105"/>
    </row>
    <row r="1011" spans="58:59">
      <c r="BF1011" s="105"/>
      <c r="BG1011" s="105"/>
    </row>
    <row r="1012" spans="58:59">
      <c r="BF1012" s="105"/>
      <c r="BG1012" s="105"/>
    </row>
    <row r="1013" spans="58:59">
      <c r="BF1013" s="105"/>
      <c r="BG1013" s="105"/>
    </row>
    <row r="1014" spans="58:59">
      <c r="BF1014" s="105"/>
      <c r="BG1014" s="105"/>
    </row>
    <row r="1015" spans="58:59">
      <c r="BF1015" s="105"/>
      <c r="BG1015" s="105"/>
    </row>
    <row r="1016" spans="58:59">
      <c r="BF1016" s="105"/>
      <c r="BG1016" s="105"/>
    </row>
    <row r="1017" spans="58:59">
      <c r="BF1017" s="105"/>
      <c r="BG1017" s="105"/>
    </row>
    <row r="1018" spans="58:59">
      <c r="BF1018" s="105"/>
      <c r="BG1018" s="105"/>
    </row>
    <row r="1019" spans="58:59">
      <c r="BF1019" s="105"/>
      <c r="BG1019" s="105"/>
    </row>
    <row r="1020" spans="58:59">
      <c r="BF1020" s="105"/>
      <c r="BG1020" s="105"/>
    </row>
    <row r="1021" spans="58:59">
      <c r="BF1021" s="105"/>
      <c r="BG1021" s="105"/>
    </row>
    <row r="1022" spans="58:59">
      <c r="BF1022" s="105"/>
      <c r="BG1022" s="105"/>
    </row>
    <row r="1023" spans="58:59">
      <c r="BF1023" s="105"/>
      <c r="BG1023" s="105"/>
    </row>
    <row r="1024" spans="58:59">
      <c r="BF1024" s="105"/>
      <c r="BG1024" s="105"/>
    </row>
    <row r="1025" spans="58:59">
      <c r="BF1025" s="105"/>
      <c r="BG1025" s="105"/>
    </row>
    <row r="1026" spans="58:59">
      <c r="BF1026" s="105"/>
      <c r="BG1026" s="105"/>
    </row>
    <row r="1027" spans="58:59">
      <c r="BF1027" s="105"/>
      <c r="BG1027" s="105"/>
    </row>
    <row r="1028" spans="58:59">
      <c r="BF1028" s="105"/>
      <c r="BG1028" s="105"/>
    </row>
    <row r="1029" spans="58:59">
      <c r="BF1029" s="105"/>
      <c r="BG1029" s="105"/>
    </row>
    <row r="1030" spans="58:59">
      <c r="BF1030" s="105"/>
      <c r="BG1030" s="105"/>
    </row>
    <row r="1031" spans="58:59">
      <c r="BF1031" s="105"/>
      <c r="BG1031" s="105"/>
    </row>
    <row r="1032" spans="58:59">
      <c r="BF1032" s="105"/>
      <c r="BG1032" s="105"/>
    </row>
    <row r="1033" spans="58:59">
      <c r="BF1033" s="105"/>
      <c r="BG1033" s="105"/>
    </row>
    <row r="1034" spans="58:59">
      <c r="BF1034" s="105"/>
      <c r="BG1034" s="105"/>
    </row>
    <row r="1035" spans="58:59">
      <c r="BF1035" s="105"/>
      <c r="BG1035" s="105"/>
    </row>
    <row r="1036" spans="58:59">
      <c r="BF1036" s="105"/>
      <c r="BG1036" s="105"/>
    </row>
    <row r="1037" spans="58:59">
      <c r="BF1037" s="105"/>
      <c r="BG1037" s="105"/>
    </row>
    <row r="1038" spans="58:59">
      <c r="BF1038" s="105"/>
      <c r="BG1038" s="105"/>
    </row>
    <row r="1039" spans="58:59">
      <c r="BF1039" s="105"/>
      <c r="BG1039" s="105"/>
    </row>
    <row r="1040" spans="58:59">
      <c r="BF1040" s="105"/>
      <c r="BG1040" s="105"/>
    </row>
    <row r="1041" spans="58:59">
      <c r="BF1041" s="105"/>
      <c r="BG1041" s="105"/>
    </row>
    <row r="1042" spans="58:59">
      <c r="BF1042" s="105"/>
      <c r="BG1042" s="105"/>
    </row>
    <row r="1043" spans="58:59">
      <c r="BF1043" s="105"/>
      <c r="BG1043" s="105"/>
    </row>
    <row r="1044" spans="58:59">
      <c r="BF1044" s="105"/>
      <c r="BG1044" s="105"/>
    </row>
    <row r="1045" spans="58:59">
      <c r="BF1045" s="105"/>
      <c r="BG1045" s="105"/>
    </row>
    <row r="1046" spans="58:59">
      <c r="BF1046" s="105"/>
      <c r="BG1046" s="105"/>
    </row>
    <row r="1047" spans="58:59">
      <c r="BF1047" s="105"/>
      <c r="BG1047" s="105"/>
    </row>
    <row r="1048" spans="58:59">
      <c r="BF1048" s="105"/>
      <c r="BG1048" s="105"/>
    </row>
    <row r="1049" spans="58:59">
      <c r="BF1049" s="105"/>
      <c r="BG1049" s="105"/>
    </row>
    <row r="1050" spans="58:59">
      <c r="BF1050" s="105"/>
      <c r="BG1050" s="105"/>
    </row>
    <row r="1051" spans="58:59">
      <c r="BF1051" s="105"/>
      <c r="BG1051" s="105"/>
    </row>
    <row r="1052" spans="58:59">
      <c r="BF1052" s="105"/>
      <c r="BG1052" s="105"/>
    </row>
    <row r="1053" spans="58:59">
      <c r="BF1053" s="105"/>
      <c r="BG1053" s="105"/>
    </row>
    <row r="1054" spans="58:59">
      <c r="BF1054" s="105"/>
      <c r="BG1054" s="105"/>
    </row>
    <row r="1055" spans="58:59">
      <c r="BF1055" s="105"/>
      <c r="BG1055" s="105"/>
    </row>
    <row r="1056" spans="58:59">
      <c r="BF1056" s="105"/>
      <c r="BG1056" s="105"/>
    </row>
    <row r="1057" spans="58:59">
      <c r="BF1057" s="105"/>
      <c r="BG1057" s="105"/>
    </row>
    <row r="1058" spans="58:59">
      <c r="BF1058" s="105"/>
      <c r="BG1058" s="105"/>
    </row>
    <row r="1059" spans="58:59">
      <c r="BF1059" s="105"/>
      <c r="BG1059" s="105"/>
    </row>
    <row r="1060" spans="58:59">
      <c r="BF1060" s="105"/>
      <c r="BG1060" s="105"/>
    </row>
    <row r="1061" spans="58:59">
      <c r="BF1061" s="105"/>
      <c r="BG1061" s="105"/>
    </row>
    <row r="1062" spans="58:59">
      <c r="BF1062" s="105"/>
      <c r="BG1062" s="105"/>
    </row>
    <row r="1063" spans="58:59">
      <c r="BF1063" s="105"/>
      <c r="BG1063" s="105"/>
    </row>
    <row r="1064" spans="58:59">
      <c r="BF1064" s="105"/>
      <c r="BG1064" s="105"/>
    </row>
    <row r="1065" spans="58:59">
      <c r="BF1065" s="105"/>
      <c r="BG1065" s="105"/>
    </row>
    <row r="1066" spans="58:59">
      <c r="BF1066" s="105"/>
      <c r="BG1066" s="105"/>
    </row>
    <row r="1067" spans="58:59">
      <c r="BF1067" s="105"/>
      <c r="BG1067" s="105"/>
    </row>
    <row r="1068" spans="58:59">
      <c r="BF1068" s="105"/>
      <c r="BG1068" s="105"/>
    </row>
    <row r="1069" spans="58:59">
      <c r="BF1069" s="105"/>
      <c r="BG1069" s="105"/>
    </row>
    <row r="1070" spans="58:59">
      <c r="BF1070" s="105"/>
      <c r="BG1070" s="105"/>
    </row>
    <row r="1071" spans="58:59">
      <c r="BF1071" s="105"/>
      <c r="BG1071" s="105"/>
    </row>
    <row r="1072" spans="58:59">
      <c r="BF1072" s="105"/>
      <c r="BG1072" s="105"/>
    </row>
    <row r="1073" spans="58:59">
      <c r="BF1073" s="105"/>
      <c r="BG1073" s="105"/>
    </row>
    <row r="1074" spans="58:59">
      <c r="BF1074" s="105"/>
      <c r="BG1074" s="105"/>
    </row>
    <row r="1075" spans="58:59">
      <c r="BF1075" s="105"/>
      <c r="BG1075" s="105"/>
    </row>
    <row r="1076" spans="58:59">
      <c r="BF1076" s="105"/>
      <c r="BG1076" s="105"/>
    </row>
    <row r="1077" spans="58:59">
      <c r="BF1077" s="105"/>
      <c r="BG1077" s="105"/>
    </row>
    <row r="1078" spans="58:59">
      <c r="BF1078" s="105"/>
      <c r="BG1078" s="105"/>
    </row>
    <row r="1079" spans="58:59">
      <c r="BF1079" s="105"/>
      <c r="BG1079" s="105"/>
    </row>
    <row r="1080" spans="58:59">
      <c r="BF1080" s="105"/>
      <c r="BG1080" s="105"/>
    </row>
    <row r="1081" spans="58:59">
      <c r="BF1081" s="105"/>
      <c r="BG1081" s="105"/>
    </row>
    <row r="1082" spans="58:59">
      <c r="BF1082" s="105"/>
      <c r="BG1082" s="105"/>
    </row>
    <row r="1083" spans="58:59">
      <c r="BF1083" s="105"/>
      <c r="BG1083" s="105"/>
    </row>
    <row r="1084" spans="58:59">
      <c r="BF1084" s="105"/>
      <c r="BG1084" s="105"/>
    </row>
    <row r="1085" spans="58:59">
      <c r="BF1085" s="105"/>
      <c r="BG1085" s="105"/>
    </row>
    <row r="1086" spans="58:59">
      <c r="BF1086" s="105"/>
      <c r="BG1086" s="105"/>
    </row>
    <row r="1087" spans="58:59">
      <c r="BF1087" s="105"/>
      <c r="BG1087" s="105"/>
    </row>
    <row r="1088" spans="58:59">
      <c r="BF1088" s="105"/>
      <c r="BG1088" s="105"/>
    </row>
    <row r="1089" spans="58:59">
      <c r="BF1089" s="105"/>
      <c r="BG1089" s="105"/>
    </row>
    <row r="1090" spans="58:59">
      <c r="BF1090" s="105"/>
      <c r="BG1090" s="105"/>
    </row>
    <row r="1091" spans="58:59">
      <c r="BF1091" s="105"/>
      <c r="BG1091" s="105"/>
    </row>
    <row r="1092" spans="58:59">
      <c r="BF1092" s="105"/>
      <c r="BG1092" s="105"/>
    </row>
    <row r="1093" spans="58:59">
      <c r="BF1093" s="105"/>
      <c r="BG1093" s="105"/>
    </row>
    <row r="1094" spans="58:59">
      <c r="BF1094" s="105"/>
      <c r="BG1094" s="105"/>
    </row>
    <row r="1095" spans="58:59">
      <c r="BF1095" s="105"/>
      <c r="BG1095" s="105"/>
    </row>
    <row r="1096" spans="58:59">
      <c r="BF1096" s="105"/>
      <c r="BG1096" s="105"/>
    </row>
    <row r="1097" spans="58:59">
      <c r="BF1097" s="105"/>
      <c r="BG1097" s="105"/>
    </row>
    <row r="1098" spans="58:59">
      <c r="BF1098" s="105"/>
      <c r="BG1098" s="105"/>
    </row>
    <row r="1099" spans="58:59">
      <c r="BF1099" s="105"/>
      <c r="BG1099" s="105"/>
    </row>
    <row r="1100" spans="58:59">
      <c r="BF1100" s="105"/>
      <c r="BG1100" s="105"/>
    </row>
    <row r="1101" spans="58:59">
      <c r="BF1101" s="105"/>
      <c r="BG1101" s="105"/>
    </row>
    <row r="1102" spans="58:59">
      <c r="BF1102" s="105"/>
      <c r="BG1102" s="105"/>
    </row>
    <row r="1103" spans="58:59">
      <c r="BF1103" s="105"/>
      <c r="BG1103" s="105"/>
    </row>
    <row r="1104" spans="58:59">
      <c r="BF1104" s="105"/>
      <c r="BG1104" s="105"/>
    </row>
    <row r="1105" spans="58:59">
      <c r="BF1105" s="105"/>
      <c r="BG1105" s="105"/>
    </row>
    <row r="1106" spans="58:59">
      <c r="BF1106" s="105"/>
      <c r="BG1106" s="105"/>
    </row>
    <row r="1107" spans="58:59">
      <c r="BF1107" s="105"/>
      <c r="BG1107" s="105"/>
    </row>
    <row r="1108" spans="58:59">
      <c r="BF1108" s="105"/>
      <c r="BG1108" s="105"/>
    </row>
    <row r="1109" spans="58:59">
      <c r="BF1109" s="105"/>
      <c r="BG1109" s="105"/>
    </row>
    <row r="1110" spans="58:59">
      <c r="BF1110" s="105"/>
      <c r="BG1110" s="105"/>
    </row>
    <row r="1111" spans="58:59">
      <c r="BF1111" s="105"/>
      <c r="BG1111" s="105"/>
    </row>
    <row r="1112" spans="58:59">
      <c r="BF1112" s="105"/>
      <c r="BG1112" s="105"/>
    </row>
    <row r="1113" spans="58:59">
      <c r="BF1113" s="105"/>
      <c r="BG1113" s="105"/>
    </row>
    <row r="1114" spans="58:59">
      <c r="BF1114" s="105"/>
      <c r="BG1114" s="105"/>
    </row>
    <row r="1115" spans="58:59">
      <c r="BF1115" s="105"/>
      <c r="BG1115" s="105"/>
    </row>
    <row r="1116" spans="58:59">
      <c r="BF1116" s="105"/>
      <c r="BG1116" s="105"/>
    </row>
    <row r="1117" spans="58:59">
      <c r="BF1117" s="105"/>
      <c r="BG1117" s="105"/>
    </row>
    <row r="1118" spans="58:59">
      <c r="BF1118" s="105"/>
      <c r="BG1118" s="105"/>
    </row>
    <row r="1119" spans="58:59">
      <c r="BF1119" s="105"/>
      <c r="BG1119" s="105"/>
    </row>
    <row r="1120" spans="58:59">
      <c r="BF1120" s="105"/>
      <c r="BG1120" s="105"/>
    </row>
    <row r="1121" spans="58:59">
      <c r="BF1121" s="105"/>
      <c r="BG1121" s="105"/>
    </row>
    <row r="1122" spans="58:59">
      <c r="BF1122" s="105"/>
      <c r="BG1122" s="105"/>
    </row>
    <row r="1123" spans="58:59">
      <c r="BF1123" s="105"/>
      <c r="BG1123" s="105"/>
    </row>
    <row r="1124" spans="58:59">
      <c r="BF1124" s="105"/>
      <c r="BG1124" s="105"/>
    </row>
    <row r="1125" spans="58:59">
      <c r="BF1125" s="105"/>
      <c r="BG1125" s="105"/>
    </row>
    <row r="1126" spans="58:59">
      <c r="BF1126" s="105"/>
      <c r="BG1126" s="105"/>
    </row>
    <row r="1127" spans="58:59">
      <c r="BF1127" s="105"/>
      <c r="BG1127" s="105"/>
    </row>
    <row r="1128" spans="58:59">
      <c r="BF1128" s="105"/>
      <c r="BG1128" s="105"/>
    </row>
    <row r="1129" spans="58:59">
      <c r="BF1129" s="105"/>
      <c r="BG1129" s="105"/>
    </row>
    <row r="1130" spans="58:59">
      <c r="BF1130" s="105"/>
      <c r="BG1130" s="105"/>
    </row>
    <row r="1131" spans="58:59">
      <c r="BF1131" s="105"/>
      <c r="BG1131" s="105"/>
    </row>
    <row r="1132" spans="58:59">
      <c r="BF1132" s="105"/>
      <c r="BG1132" s="105"/>
    </row>
    <row r="1133" spans="58:59">
      <c r="BF1133" s="105"/>
      <c r="BG1133" s="105"/>
    </row>
    <row r="1134" spans="58:59">
      <c r="BF1134" s="105"/>
      <c r="BG1134" s="105"/>
    </row>
    <row r="1135" spans="58:59">
      <c r="BF1135" s="105"/>
      <c r="BG1135" s="105"/>
    </row>
    <row r="1136" spans="58:59">
      <c r="BF1136" s="105"/>
      <c r="BG1136" s="105"/>
    </row>
    <row r="1137" spans="58:59">
      <c r="BF1137" s="105"/>
      <c r="BG1137" s="105"/>
    </row>
    <row r="1138" spans="58:59">
      <c r="BF1138" s="105"/>
      <c r="BG1138" s="105"/>
    </row>
    <row r="1139" spans="58:59">
      <c r="BF1139" s="105"/>
      <c r="BG1139" s="105"/>
    </row>
    <row r="1140" spans="58:59">
      <c r="BF1140" s="105"/>
      <c r="BG1140" s="105"/>
    </row>
    <row r="1141" spans="58:59">
      <c r="BF1141" s="105"/>
      <c r="BG1141" s="105"/>
    </row>
    <row r="1142" spans="58:59">
      <c r="BF1142" s="105"/>
      <c r="BG1142" s="105"/>
    </row>
    <row r="1143" spans="58:59">
      <c r="BF1143" s="105"/>
      <c r="BG1143" s="105"/>
    </row>
    <row r="1144" spans="58:59">
      <c r="BF1144" s="105"/>
      <c r="BG1144" s="105"/>
    </row>
    <row r="1145" spans="58:59">
      <c r="BF1145" s="105"/>
      <c r="BG1145" s="105"/>
    </row>
    <row r="1146" spans="58:59">
      <c r="BF1146" s="105"/>
      <c r="BG1146" s="105"/>
    </row>
    <row r="1147" spans="58:59">
      <c r="BF1147" s="105"/>
      <c r="BG1147" s="105"/>
    </row>
    <row r="1148" spans="58:59">
      <c r="BF1148" s="105"/>
      <c r="BG1148" s="105"/>
    </row>
    <row r="1149" spans="58:59">
      <c r="BF1149" s="105"/>
      <c r="BG1149" s="105"/>
    </row>
    <row r="1150" spans="58:59">
      <c r="BF1150" s="105"/>
      <c r="BG1150" s="105"/>
    </row>
    <row r="1151" spans="58:59">
      <c r="BF1151" s="105"/>
      <c r="BG1151" s="105"/>
    </row>
    <row r="1152" spans="58:59">
      <c r="BF1152" s="105"/>
      <c r="BG1152" s="105"/>
    </row>
    <row r="1153" spans="58:59">
      <c r="BF1153" s="105"/>
      <c r="BG1153" s="105"/>
    </row>
    <row r="1154" spans="58:59">
      <c r="BF1154" s="105"/>
      <c r="BG1154" s="105"/>
    </row>
    <row r="1155" spans="58:59">
      <c r="BF1155" s="105"/>
      <c r="BG1155" s="105"/>
    </row>
    <row r="1156" spans="58:59">
      <c r="BF1156" s="105"/>
      <c r="BG1156" s="105"/>
    </row>
    <row r="1157" spans="58:59">
      <c r="BF1157" s="105"/>
      <c r="BG1157" s="105"/>
    </row>
    <row r="1158" spans="58:59">
      <c r="BF1158" s="105"/>
      <c r="BG1158" s="105"/>
    </row>
    <row r="1159" spans="58:59">
      <c r="BF1159" s="105"/>
      <c r="BG1159" s="105"/>
    </row>
    <row r="1160" spans="58:59">
      <c r="BF1160" s="105"/>
      <c r="BG1160" s="105"/>
    </row>
    <row r="1161" spans="58:59">
      <c r="BF1161" s="105"/>
      <c r="BG1161" s="105"/>
    </row>
    <row r="1162" spans="58:59">
      <c r="BF1162" s="105"/>
      <c r="BG1162" s="105"/>
    </row>
    <row r="1163" spans="58:59">
      <c r="BF1163" s="105"/>
      <c r="BG1163" s="105"/>
    </row>
    <row r="1164" spans="58:59">
      <c r="BF1164" s="105"/>
      <c r="BG1164" s="105"/>
    </row>
    <row r="1165" spans="58:59">
      <c r="BF1165" s="105"/>
      <c r="BG1165" s="105"/>
    </row>
    <row r="1166" spans="58:59">
      <c r="BF1166" s="105"/>
      <c r="BG1166" s="105"/>
    </row>
    <row r="1167" spans="58:59">
      <c r="BF1167" s="105"/>
      <c r="BG1167" s="105"/>
    </row>
    <row r="1168" spans="58:59">
      <c r="BF1168" s="105"/>
      <c r="BG1168" s="105"/>
    </row>
    <row r="1169" spans="58:59">
      <c r="BF1169" s="105"/>
      <c r="BG1169" s="105"/>
    </row>
    <row r="1170" spans="58:59">
      <c r="BF1170" s="105"/>
      <c r="BG1170" s="105"/>
    </row>
    <row r="1171" spans="58:59">
      <c r="BF1171" s="105"/>
      <c r="BG1171" s="105"/>
    </row>
    <row r="1172" spans="58:59">
      <c r="BF1172" s="105"/>
      <c r="BG1172" s="105"/>
    </row>
    <row r="1173" spans="58:59">
      <c r="BF1173" s="105"/>
      <c r="BG1173" s="105"/>
    </row>
    <row r="1174" spans="58:59">
      <c r="BF1174" s="105"/>
      <c r="BG1174" s="105"/>
    </row>
    <row r="1175" spans="58:59">
      <c r="BF1175" s="105"/>
      <c r="BG1175" s="105"/>
    </row>
    <row r="1176" spans="58:59">
      <c r="BF1176" s="105"/>
      <c r="BG1176" s="105"/>
    </row>
    <row r="1177" spans="58:59">
      <c r="BF1177" s="105"/>
      <c r="BG1177" s="105"/>
    </row>
    <row r="1178" spans="58:59">
      <c r="BF1178" s="105"/>
      <c r="BG1178" s="105"/>
    </row>
    <row r="1179" spans="58:59">
      <c r="BF1179" s="105"/>
      <c r="BG1179" s="105"/>
    </row>
    <row r="1180" spans="58:59">
      <c r="BF1180" s="105"/>
      <c r="BG1180" s="105"/>
    </row>
    <row r="1181" spans="58:59">
      <c r="BF1181" s="105"/>
      <c r="BG1181" s="105"/>
    </row>
    <row r="1182" spans="58:59">
      <c r="BF1182" s="105"/>
      <c r="BG1182" s="105"/>
    </row>
    <row r="1183" spans="58:59">
      <c r="BF1183" s="105"/>
      <c r="BG1183" s="105"/>
    </row>
    <row r="1184" spans="58:59">
      <c r="BF1184" s="105"/>
      <c r="BG1184" s="105"/>
    </row>
    <row r="1185" spans="58:59">
      <c r="BF1185" s="105"/>
      <c r="BG1185" s="105"/>
    </row>
    <row r="1186" spans="58:59">
      <c r="BF1186" s="105"/>
      <c r="BG1186" s="105"/>
    </row>
    <row r="1187" spans="58:59">
      <c r="BF1187" s="105"/>
      <c r="BG1187" s="105"/>
    </row>
    <row r="1188" spans="58:59">
      <c r="BF1188" s="105"/>
      <c r="BG1188" s="105"/>
    </row>
    <row r="1189" spans="58:59">
      <c r="BF1189" s="105"/>
      <c r="BG1189" s="105"/>
    </row>
    <row r="1190" spans="58:59">
      <c r="BF1190" s="105"/>
      <c r="BG1190" s="105"/>
    </row>
    <row r="1191" spans="58:59">
      <c r="BF1191" s="105"/>
      <c r="BG1191" s="105"/>
    </row>
    <row r="1192" spans="58:59">
      <c r="BF1192" s="105"/>
      <c r="BG1192" s="105"/>
    </row>
    <row r="1193" spans="58:59">
      <c r="BF1193" s="105"/>
      <c r="BG1193" s="105"/>
    </row>
    <row r="1194" spans="58:59">
      <c r="BF1194" s="105"/>
      <c r="BG1194" s="105"/>
    </row>
    <row r="1195" spans="58:59">
      <c r="BF1195" s="105"/>
      <c r="BG1195" s="105"/>
    </row>
    <row r="1196" spans="58:59">
      <c r="BF1196" s="105"/>
      <c r="BG1196" s="105"/>
    </row>
    <row r="1197" spans="58:59">
      <c r="BF1197" s="105"/>
      <c r="BG1197" s="105"/>
    </row>
    <row r="1198" spans="58:59">
      <c r="BF1198" s="105"/>
      <c r="BG1198" s="105"/>
    </row>
    <row r="1199" spans="58:59">
      <c r="BF1199" s="105"/>
      <c r="BG1199" s="105"/>
    </row>
    <row r="1200" spans="58:59">
      <c r="BF1200" s="105"/>
      <c r="BG1200" s="105"/>
    </row>
    <row r="1201" spans="58:59">
      <c r="BF1201" s="105"/>
      <c r="BG1201" s="105"/>
    </row>
    <row r="1202" spans="58:59">
      <c r="BF1202" s="105"/>
      <c r="BG1202" s="105"/>
    </row>
    <row r="1203" spans="58:59">
      <c r="BF1203" s="105"/>
      <c r="BG1203" s="105"/>
    </row>
    <row r="1204" spans="58:59">
      <c r="BF1204" s="105"/>
      <c r="BG1204" s="105"/>
    </row>
    <row r="1205" spans="58:59">
      <c r="BF1205" s="105"/>
      <c r="BG1205" s="105"/>
    </row>
    <row r="1206" spans="58:59">
      <c r="BF1206" s="105"/>
      <c r="BG1206" s="105"/>
    </row>
    <row r="1207" spans="58:59">
      <c r="BF1207" s="105"/>
      <c r="BG1207" s="105"/>
    </row>
    <row r="1208" spans="58:59">
      <c r="BF1208" s="105"/>
      <c r="BG1208" s="105"/>
    </row>
    <row r="1209" spans="58:59">
      <c r="BF1209" s="105"/>
      <c r="BG1209" s="105"/>
    </row>
    <row r="1210" spans="58:59">
      <c r="BF1210" s="105"/>
      <c r="BG1210" s="105"/>
    </row>
    <row r="1211" spans="58:59">
      <c r="BF1211" s="105"/>
      <c r="BG1211" s="105"/>
    </row>
    <row r="1212" spans="58:59">
      <c r="BF1212" s="105"/>
      <c r="BG1212" s="105"/>
    </row>
    <row r="1213" spans="58:59">
      <c r="BF1213" s="105"/>
      <c r="BG1213" s="105"/>
    </row>
    <row r="1214" spans="58:59">
      <c r="BF1214" s="105"/>
      <c r="BG1214" s="105"/>
    </row>
    <row r="1215" spans="58:59">
      <c r="BF1215" s="105"/>
      <c r="BG1215" s="105"/>
    </row>
    <row r="1216" spans="58:59">
      <c r="BF1216" s="105"/>
      <c r="BG1216" s="105"/>
    </row>
    <row r="1217" spans="58:59">
      <c r="BF1217" s="105"/>
      <c r="BG1217" s="105"/>
    </row>
    <row r="1218" spans="58:59">
      <c r="BF1218" s="105"/>
      <c r="BG1218" s="105"/>
    </row>
    <row r="1219" spans="58:59">
      <c r="BF1219" s="105"/>
      <c r="BG1219" s="105"/>
    </row>
    <row r="1220" spans="58:59">
      <c r="BF1220" s="105"/>
      <c r="BG1220" s="105"/>
    </row>
    <row r="1221" spans="58:59">
      <c r="BF1221" s="105"/>
      <c r="BG1221" s="105"/>
    </row>
  </sheetData>
  <mergeCells count="8">
    <mergeCell ref="B1:B2"/>
    <mergeCell ref="G1:G2"/>
    <mergeCell ref="AS2:AX2"/>
    <mergeCell ref="AY2:BC2"/>
    <mergeCell ref="A3:A4"/>
    <mergeCell ref="B3:B4"/>
    <mergeCell ref="C3:C4"/>
    <mergeCell ref="D3:D4"/>
  </mergeCells>
  <phoneticPr fontId="2" type="noConversion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2"/>
  <sheetViews>
    <sheetView topLeftCell="E4" workbookViewId="0">
      <selection activeCell="F10" sqref="F10:M18"/>
    </sheetView>
  </sheetViews>
  <sheetFormatPr defaultColWidth="9.109375" defaultRowHeight="13.2"/>
  <cols>
    <col min="1" max="1" width="9.109375" style="1"/>
    <col min="2" max="2" width="11.88671875" style="1" customWidth="1"/>
    <col min="3" max="5" width="9.109375" style="1"/>
    <col min="6" max="6" width="13" style="1" customWidth="1"/>
    <col min="7" max="7" width="13.109375" style="1" customWidth="1"/>
    <col min="8" max="8" width="13.6640625" style="1" customWidth="1"/>
    <col min="9" max="10" width="15.109375" style="1" customWidth="1"/>
    <col min="11" max="11" width="14" style="1" customWidth="1"/>
    <col min="12" max="12" width="13.88671875" style="1" customWidth="1"/>
    <col min="13" max="13" width="12.33203125" style="1" customWidth="1"/>
    <col min="14" max="16384" width="9.109375" style="1"/>
  </cols>
  <sheetData>
    <row r="1" spans="1:25">
      <c r="A1" s="1" t="s">
        <v>0</v>
      </c>
      <c r="J1" s="2"/>
      <c r="K1" s="3"/>
      <c r="L1" s="3"/>
      <c r="M1" s="3"/>
      <c r="N1" s="3"/>
      <c r="O1" s="4"/>
    </row>
    <row r="2" spans="1:25">
      <c r="A2" s="1" t="s">
        <v>1</v>
      </c>
      <c r="J2" s="2"/>
      <c r="K2" s="3"/>
      <c r="L2" s="3"/>
      <c r="M2" s="3"/>
      <c r="N2" s="3"/>
      <c r="O2" s="4"/>
    </row>
    <row r="3" spans="1:25">
      <c r="J3" s="5"/>
      <c r="K3" s="6"/>
      <c r="L3" s="6"/>
      <c r="M3" s="6"/>
      <c r="N3" s="6"/>
      <c r="O3" s="7"/>
      <c r="S3" s="117"/>
    </row>
    <row r="4" spans="1:25">
      <c r="A4" s="1" t="s">
        <v>3</v>
      </c>
      <c r="J4" s="5"/>
      <c r="K4" s="6"/>
      <c r="L4" s="6"/>
      <c r="M4" s="6"/>
      <c r="N4" s="6"/>
      <c r="O4" s="7"/>
      <c r="S4" s="117"/>
    </row>
    <row r="5" spans="1:25">
      <c r="A5" s="1" t="s">
        <v>8</v>
      </c>
      <c r="J5" s="5"/>
      <c r="K5" s="6"/>
      <c r="L5" s="6"/>
      <c r="M5" s="6"/>
      <c r="N5" s="6"/>
      <c r="O5" s="7"/>
      <c r="S5" s="117"/>
    </row>
    <row r="6" spans="1:25">
      <c r="A6" s="1" t="s">
        <v>11</v>
      </c>
      <c r="H6" s="1" t="s">
        <v>12</v>
      </c>
      <c r="J6" s="5"/>
      <c r="K6" s="6"/>
      <c r="L6" s="6"/>
      <c r="M6" s="6"/>
      <c r="N6" s="6"/>
      <c r="O6" s="7"/>
      <c r="S6" s="117"/>
    </row>
    <row r="7" spans="1:25">
      <c r="A7" s="1" t="s">
        <v>15</v>
      </c>
      <c r="H7" s="1" t="s">
        <v>16</v>
      </c>
      <c r="J7" s="5"/>
      <c r="K7" s="6"/>
      <c r="L7" s="6"/>
      <c r="M7" s="6"/>
      <c r="N7" s="6"/>
      <c r="O7" s="7"/>
      <c r="S7" s="117"/>
    </row>
    <row r="8" spans="1:25">
      <c r="J8" s="5"/>
      <c r="K8" s="6"/>
      <c r="L8" s="6"/>
      <c r="M8" s="6"/>
      <c r="N8" s="6"/>
      <c r="O8" s="7"/>
      <c r="S8" s="117"/>
    </row>
    <row r="9" spans="1: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120"/>
    </row>
    <row r="10" spans="1:25">
      <c r="A10" s="116" t="s">
        <v>82</v>
      </c>
      <c r="B10" s="6"/>
      <c r="C10" s="6"/>
      <c r="D10" s="6"/>
      <c r="E10" s="6"/>
      <c r="F10" s="116" t="s">
        <v>229</v>
      </c>
      <c r="G10" s="261">
        <v>45</v>
      </c>
      <c r="H10" s="6">
        <v>48</v>
      </c>
      <c r="I10" s="1">
        <v>48</v>
      </c>
      <c r="J10" s="6">
        <v>52</v>
      </c>
      <c r="K10" s="6">
        <v>55</v>
      </c>
      <c r="L10" s="116">
        <v>58</v>
      </c>
      <c r="M10" s="6">
        <v>119</v>
      </c>
    </row>
    <row r="11" spans="1:25">
      <c r="A11" s="116" t="s">
        <v>81</v>
      </c>
      <c r="B11" s="116" t="s">
        <v>224</v>
      </c>
      <c r="C11" s="6"/>
      <c r="D11" s="6"/>
      <c r="E11" s="116"/>
      <c r="F11" s="18" t="s">
        <v>227</v>
      </c>
      <c r="G11" s="85" t="s">
        <v>228</v>
      </c>
      <c r="H11" s="85" t="s">
        <v>228</v>
      </c>
      <c r="I11" s="18" t="s">
        <v>231</v>
      </c>
      <c r="J11" s="85" t="s">
        <v>228</v>
      </c>
      <c r="K11" s="85" t="s">
        <v>228</v>
      </c>
      <c r="L11" s="85" t="s">
        <v>228</v>
      </c>
      <c r="M11" s="85" t="s">
        <v>228</v>
      </c>
    </row>
    <row r="12" spans="1:25">
      <c r="A12" s="260">
        <v>477</v>
      </c>
      <c r="B12" s="6">
        <v>10</v>
      </c>
      <c r="C12" s="6"/>
      <c r="D12" s="6"/>
      <c r="E12" s="6"/>
      <c r="F12" s="116" t="s">
        <v>225</v>
      </c>
      <c r="G12" s="6">
        <v>-0.22973813307538177</v>
      </c>
      <c r="H12" s="6">
        <v>-0.23327528660571759</v>
      </c>
      <c r="I12" s="1">
        <v>-0.20207705013540278</v>
      </c>
      <c r="J12" s="6">
        <v>-0.22973813307538177</v>
      </c>
      <c r="K12" s="6">
        <v>-0.2306691630833885</v>
      </c>
      <c r="L12" s="6">
        <v>-0.22583620600119692</v>
      </c>
      <c r="M12" s="6">
        <v>-0.2239081250482364</v>
      </c>
    </row>
    <row r="13" spans="1:25">
      <c r="A13" s="260">
        <v>434</v>
      </c>
      <c r="B13" s="6">
        <v>20</v>
      </c>
      <c r="C13" s="6"/>
      <c r="D13" s="6"/>
      <c r="E13" s="6"/>
      <c r="F13" s="116" t="s">
        <v>226</v>
      </c>
      <c r="G13" s="6">
        <v>119.6942582740275</v>
      </c>
      <c r="H13" s="6">
        <v>121.77102984569245</v>
      </c>
      <c r="I13" s="1">
        <v>111.19762764265552</v>
      </c>
      <c r="J13" s="6">
        <v>119.6942582740275</v>
      </c>
      <c r="K13" s="6">
        <v>121.22511672124084</v>
      </c>
      <c r="L13" s="6">
        <v>119.22781698674039</v>
      </c>
      <c r="M13" s="6">
        <v>118.20926370111714</v>
      </c>
    </row>
    <row r="14" spans="1:25">
      <c r="A14" s="260">
        <v>391</v>
      </c>
      <c r="B14" s="11">
        <v>30</v>
      </c>
      <c r="C14" s="6"/>
      <c r="D14" s="6"/>
      <c r="E14" s="6"/>
      <c r="F14" s="6"/>
      <c r="N14" s="6"/>
      <c r="O14" s="6"/>
      <c r="P14" s="6"/>
      <c r="Q14" s="6"/>
      <c r="R14" s="6"/>
    </row>
    <row r="15" spans="1:25">
      <c r="A15" s="260">
        <v>347</v>
      </c>
      <c r="B15" s="11">
        <v>40</v>
      </c>
      <c r="C15" s="6"/>
      <c r="D15" s="6"/>
      <c r="E15" s="6"/>
      <c r="F15" s="116" t="s">
        <v>229</v>
      </c>
      <c r="G15" s="6">
        <v>119</v>
      </c>
      <c r="H15" s="6">
        <v>136</v>
      </c>
      <c r="I15" s="6">
        <v>167</v>
      </c>
      <c r="J15" s="6">
        <v>168</v>
      </c>
      <c r="K15" s="6">
        <v>173</v>
      </c>
      <c r="L15" s="1">
        <v>174</v>
      </c>
      <c r="M15" s="1">
        <v>174</v>
      </c>
      <c r="N15" s="6"/>
      <c r="O15" s="6"/>
      <c r="P15" s="6"/>
      <c r="Q15" s="6"/>
      <c r="R15" s="6"/>
    </row>
    <row r="16" spans="1:25">
      <c r="A16" s="260">
        <v>304</v>
      </c>
      <c r="B16" s="11">
        <v>50</v>
      </c>
      <c r="C16" s="6"/>
      <c r="D16" s="6"/>
      <c r="E16" s="6"/>
      <c r="F16" s="18" t="s">
        <v>227</v>
      </c>
      <c r="G16" s="85" t="s">
        <v>230</v>
      </c>
      <c r="H16" s="85" t="s">
        <v>228</v>
      </c>
      <c r="I16" s="85" t="s">
        <v>228</v>
      </c>
      <c r="J16" s="85" t="s">
        <v>228</v>
      </c>
      <c r="K16" s="85" t="s">
        <v>228</v>
      </c>
      <c r="L16" s="85" t="s">
        <v>228</v>
      </c>
      <c r="M16" s="85" t="s">
        <v>230</v>
      </c>
      <c r="N16" s="6"/>
      <c r="O16" s="6"/>
      <c r="P16" s="6"/>
      <c r="Q16" s="6"/>
      <c r="R16" s="6"/>
      <c r="S16" s="3"/>
      <c r="T16" s="3"/>
      <c r="U16" s="3"/>
      <c r="V16" s="3"/>
      <c r="W16" s="3"/>
      <c r="X16" s="3"/>
      <c r="Y16" s="4"/>
    </row>
    <row r="17" spans="1:25">
      <c r="A17" s="260">
        <v>259</v>
      </c>
      <c r="B17" s="11">
        <v>60</v>
      </c>
      <c r="C17" s="6"/>
      <c r="D17" s="6"/>
      <c r="E17" s="6"/>
      <c r="F17" s="116" t="s">
        <v>225</v>
      </c>
      <c r="G17" s="6">
        <v>-0.22983376030314109</v>
      </c>
      <c r="H17" s="6">
        <v>-0.22730105130258943</v>
      </c>
      <c r="I17" s="6">
        <v>-0.22989809143262036</v>
      </c>
      <c r="J17" s="6">
        <v>-0.22977008912430108</v>
      </c>
      <c r="K17" s="6">
        <v>-0.22589839768014963</v>
      </c>
      <c r="L17" s="1">
        <v>-0.22999546036281193</v>
      </c>
      <c r="M17" s="1">
        <v>-0.22983376030314109</v>
      </c>
      <c r="N17" s="6"/>
      <c r="O17" s="6"/>
      <c r="P17" s="6"/>
      <c r="Q17" s="6"/>
      <c r="R17" s="6"/>
      <c r="S17" s="6"/>
      <c r="T17" s="6"/>
      <c r="U17" s="6"/>
      <c r="V17" s="116"/>
      <c r="W17" s="6"/>
      <c r="X17" s="6"/>
      <c r="Y17" s="7"/>
    </row>
    <row r="18" spans="1:25">
      <c r="A18" s="260">
        <v>216</v>
      </c>
      <c r="B18" s="11">
        <v>70</v>
      </c>
      <c r="C18" s="6"/>
      <c r="D18" s="6"/>
      <c r="E18" s="6"/>
      <c r="F18" s="116" t="s">
        <v>226</v>
      </c>
      <c r="G18" s="6">
        <v>119.42240301297045</v>
      </c>
      <c r="H18" s="6">
        <v>118.12150194672908</v>
      </c>
      <c r="I18" s="6">
        <v>119.85425159314221</v>
      </c>
      <c r="J18" s="6">
        <v>119.77218812414047</v>
      </c>
      <c r="K18" s="6">
        <v>118.07083263229777</v>
      </c>
      <c r="L18" s="1">
        <v>119.4447279936599</v>
      </c>
      <c r="M18" s="1">
        <v>119.42240301297045</v>
      </c>
      <c r="N18" s="6"/>
      <c r="O18" s="6"/>
      <c r="P18" s="6"/>
      <c r="Q18" s="6"/>
      <c r="R18" s="6"/>
      <c r="S18" s="6"/>
      <c r="T18" s="6"/>
      <c r="U18" s="6"/>
      <c r="V18" s="116"/>
      <c r="W18" s="116"/>
      <c r="X18" s="116"/>
      <c r="Y18" s="7"/>
    </row>
    <row r="19" spans="1:25">
      <c r="A19" s="260">
        <v>173</v>
      </c>
      <c r="B19" s="11">
        <v>80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116"/>
      <c r="Q19" s="116"/>
      <c r="R19" s="116"/>
      <c r="S19" s="116"/>
      <c r="T19" s="6"/>
      <c r="U19" s="116"/>
      <c r="V19" s="116"/>
      <c r="W19" s="116"/>
      <c r="X19" s="116"/>
      <c r="Y19" s="7"/>
    </row>
    <row r="20" spans="1:25">
      <c r="A20" s="260">
        <v>129</v>
      </c>
      <c r="B20" s="11">
        <v>90</v>
      </c>
      <c r="C20" s="6"/>
      <c r="D20" s="6"/>
      <c r="E20" s="6"/>
      <c r="F20" s="6"/>
      <c r="G20" s="6"/>
      <c r="H20" s="6"/>
      <c r="I20" s="6"/>
      <c r="J20" s="6"/>
      <c r="K20" s="6"/>
      <c r="L20" s="13"/>
      <c r="M20" s="6"/>
      <c r="N20" s="6"/>
      <c r="O20" s="6"/>
      <c r="P20" s="117"/>
      <c r="Q20" s="6"/>
      <c r="R20" s="6"/>
      <c r="S20" s="6"/>
      <c r="T20" s="6"/>
      <c r="U20" s="6"/>
      <c r="V20" s="6"/>
      <c r="W20" s="117"/>
      <c r="X20" s="6"/>
      <c r="Y20" s="7"/>
    </row>
    <row r="21" spans="1:25">
      <c r="A21" s="260">
        <v>86</v>
      </c>
      <c r="B21" s="11">
        <v>100</v>
      </c>
      <c r="C21" s="6"/>
      <c r="D21" s="6"/>
      <c r="E21" s="6"/>
      <c r="F21" s="6"/>
      <c r="G21" s="6"/>
      <c r="H21" s="6"/>
      <c r="I21" s="6"/>
      <c r="J21" s="6"/>
      <c r="K21" s="6"/>
      <c r="L21" s="13"/>
      <c r="M21" s="6"/>
      <c r="N21" s="6"/>
      <c r="O21" s="6"/>
      <c r="P21" s="117"/>
      <c r="Q21" s="6"/>
      <c r="R21" s="6"/>
      <c r="S21" s="6"/>
      <c r="T21" s="6"/>
      <c r="U21" s="6"/>
      <c r="V21" s="6"/>
      <c r="W21" s="117"/>
      <c r="X21" s="6"/>
      <c r="Y21" s="7"/>
    </row>
    <row r="22" spans="1: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3"/>
      <c r="M22" s="6"/>
      <c r="N22" s="6"/>
      <c r="O22" s="6"/>
      <c r="P22" s="117"/>
      <c r="Q22" s="6"/>
      <c r="R22" s="6"/>
      <c r="S22" s="6"/>
      <c r="T22" s="6"/>
      <c r="U22" s="6"/>
      <c r="V22" s="6"/>
      <c r="W22" s="117"/>
      <c r="X22" s="6"/>
      <c r="Y22" s="7"/>
    </row>
    <row r="23" spans="1:25">
      <c r="A23" s="6" t="s">
        <v>37</v>
      </c>
      <c r="B23" s="6">
        <f>SLOPE(B12:B21,A12:A21)</f>
        <v>-0.22973813307538177</v>
      </c>
      <c r="C23" s="6"/>
      <c r="D23" s="6"/>
      <c r="E23" s="6"/>
      <c r="F23" s="6"/>
      <c r="G23" s="6"/>
      <c r="H23" s="6"/>
      <c r="I23" s="6"/>
      <c r="J23" s="6"/>
      <c r="K23" s="6"/>
      <c r="L23" s="13"/>
      <c r="M23" s="6"/>
      <c r="N23" s="6"/>
      <c r="O23" s="6"/>
      <c r="P23" s="117"/>
      <c r="Q23" s="6"/>
      <c r="R23" s="118"/>
      <c r="S23" s="6"/>
      <c r="T23" s="6"/>
      <c r="U23" s="6"/>
      <c r="V23" s="6"/>
      <c r="W23" s="117"/>
      <c r="X23" s="6"/>
      <c r="Y23" s="7"/>
    </row>
    <row r="24" spans="1:25">
      <c r="A24" s="116" t="s">
        <v>38</v>
      </c>
      <c r="B24" s="6">
        <f>INTERCEPT(B11:B21,A11:A21)</f>
        <v>119.6942582740275</v>
      </c>
      <c r="C24" s="6"/>
      <c r="D24" s="6"/>
      <c r="E24" s="6"/>
      <c r="F24" s="6"/>
      <c r="G24" s="6"/>
      <c r="H24" s="6"/>
      <c r="I24" s="6"/>
      <c r="J24" s="6"/>
      <c r="K24" s="6"/>
      <c r="L24" s="13"/>
      <c r="M24" s="6"/>
      <c r="N24" s="6"/>
      <c r="O24" s="6"/>
      <c r="P24" s="117"/>
      <c r="Q24" s="6"/>
      <c r="R24" s="118"/>
      <c r="S24" s="6"/>
      <c r="T24" s="6"/>
      <c r="U24" s="6"/>
      <c r="V24" s="6"/>
      <c r="W24" s="119"/>
      <c r="X24" s="116"/>
      <c r="Y24" s="7"/>
    </row>
    <row r="25" spans="1: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13"/>
      <c r="M25" s="6"/>
      <c r="N25" s="6"/>
      <c r="O25" s="6"/>
      <c r="P25" s="117"/>
      <c r="Q25" s="6"/>
      <c r="R25" s="6"/>
      <c r="S25" s="6"/>
      <c r="T25" s="6"/>
      <c r="U25" s="6"/>
      <c r="V25" s="6"/>
      <c r="W25" s="6"/>
      <c r="X25" s="6"/>
      <c r="Y25" s="7"/>
    </row>
    <row r="26" spans="1:25">
      <c r="A26" s="6"/>
      <c r="B26" s="6"/>
      <c r="C26" s="6"/>
      <c r="D26" s="6"/>
      <c r="E26" s="6"/>
      <c r="F26" s="6"/>
      <c r="G26" s="6"/>
      <c r="H26" s="6"/>
      <c r="I26" s="6"/>
      <c r="J26" s="116"/>
      <c r="K26" s="116"/>
      <c r="L26" s="13"/>
      <c r="M26" s="116"/>
      <c r="N26" s="6"/>
      <c r="O26" s="6"/>
      <c r="P26" s="117"/>
      <c r="Q26" s="6"/>
      <c r="R26" s="6"/>
      <c r="S26" s="9"/>
      <c r="T26" s="9"/>
      <c r="U26" s="9"/>
      <c r="V26" s="9"/>
      <c r="W26" s="9"/>
      <c r="X26" s="9"/>
      <c r="Y26" s="10"/>
    </row>
    <row r="27" spans="1: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25">
      <c r="A28" s="6"/>
      <c r="B28" s="6"/>
      <c r="C28" s="6"/>
      <c r="D28" s="6"/>
      <c r="E28" s="6" t="s">
        <v>21</v>
      </c>
      <c r="F28" s="6"/>
      <c r="G28" s="6"/>
      <c r="H28" s="6"/>
      <c r="I28" s="6" t="s">
        <v>21</v>
      </c>
      <c r="J28" s="6"/>
      <c r="K28" s="6"/>
      <c r="L28" s="6"/>
      <c r="M28" s="6" t="s">
        <v>21</v>
      </c>
      <c r="N28" s="6"/>
      <c r="O28" s="6"/>
      <c r="P28" s="6"/>
      <c r="Q28" s="6" t="s">
        <v>21</v>
      </c>
      <c r="R28" s="6"/>
      <c r="S28" s="4"/>
    </row>
    <row r="29" spans="1:25">
      <c r="A29" s="116" t="s">
        <v>84</v>
      </c>
      <c r="B29" s="6"/>
      <c r="C29" s="6"/>
      <c r="D29" s="6"/>
      <c r="E29" s="116" t="s">
        <v>83</v>
      </c>
      <c r="F29" s="6"/>
      <c r="G29" s="6"/>
      <c r="H29" s="6"/>
      <c r="I29" s="116" t="s">
        <v>85</v>
      </c>
      <c r="J29" s="6"/>
      <c r="K29" s="6"/>
      <c r="L29" s="6"/>
      <c r="M29" s="116" t="s">
        <v>86</v>
      </c>
      <c r="N29" s="6"/>
      <c r="O29" s="6"/>
      <c r="P29" s="6"/>
      <c r="Q29" s="116" t="s">
        <v>87</v>
      </c>
      <c r="R29" s="116" t="s">
        <v>88</v>
      </c>
      <c r="S29" s="7"/>
    </row>
    <row r="30" spans="1:25">
      <c r="A30" s="116" t="s">
        <v>81</v>
      </c>
      <c r="B30" s="6" t="s">
        <v>25</v>
      </c>
      <c r="C30" s="6"/>
      <c r="D30" s="6"/>
      <c r="E30" s="116" t="s">
        <v>81</v>
      </c>
      <c r="F30" s="6" t="s">
        <v>25</v>
      </c>
      <c r="G30" s="6"/>
      <c r="H30" s="6"/>
      <c r="I30" s="116" t="s">
        <v>81</v>
      </c>
      <c r="J30" s="6" t="s">
        <v>25</v>
      </c>
      <c r="K30" s="6"/>
      <c r="L30" s="6"/>
      <c r="M30" s="116" t="s">
        <v>81</v>
      </c>
      <c r="N30" s="6" t="s">
        <v>25</v>
      </c>
      <c r="O30" s="6"/>
      <c r="P30" s="6"/>
      <c r="Q30" s="116" t="s">
        <v>81</v>
      </c>
      <c r="R30" s="6" t="s">
        <v>25</v>
      </c>
      <c r="S30" s="7"/>
    </row>
    <row r="31" spans="1:25">
      <c r="A31" s="260">
        <v>479</v>
      </c>
      <c r="B31" s="6">
        <v>10</v>
      </c>
      <c r="C31" s="6"/>
      <c r="D31" s="6"/>
      <c r="E31" s="260">
        <v>477</v>
      </c>
      <c r="F31" s="6">
        <v>10</v>
      </c>
      <c r="G31" s="6"/>
      <c r="H31" s="6"/>
      <c r="I31" s="260">
        <v>482</v>
      </c>
      <c r="J31" s="6">
        <v>10</v>
      </c>
      <c r="K31" s="6"/>
      <c r="L31" s="6"/>
      <c r="M31" s="260">
        <v>483</v>
      </c>
      <c r="N31" s="6">
        <v>10</v>
      </c>
      <c r="O31" s="6"/>
      <c r="P31" s="6"/>
      <c r="Q31" s="260">
        <v>483</v>
      </c>
      <c r="R31" s="6">
        <v>10</v>
      </c>
      <c r="S31" s="7"/>
    </row>
    <row r="32" spans="1:25">
      <c r="A32" s="260">
        <v>436</v>
      </c>
      <c r="B32" s="6">
        <v>20</v>
      </c>
      <c r="C32" s="6"/>
      <c r="D32" s="6"/>
      <c r="E32" s="260">
        <v>434</v>
      </c>
      <c r="F32" s="6">
        <v>20</v>
      </c>
      <c r="G32" s="6"/>
      <c r="H32" s="6"/>
      <c r="I32" s="260">
        <v>439</v>
      </c>
      <c r="J32" s="6">
        <v>20</v>
      </c>
      <c r="K32" s="6"/>
      <c r="L32" s="6"/>
      <c r="M32" s="260">
        <v>440</v>
      </c>
      <c r="N32" s="6">
        <v>20</v>
      </c>
      <c r="O32" s="6"/>
      <c r="P32" s="6"/>
      <c r="Q32" s="260">
        <v>439</v>
      </c>
      <c r="R32" s="6">
        <v>20</v>
      </c>
      <c r="S32" s="7"/>
    </row>
    <row r="33" spans="1:19">
      <c r="A33" s="260">
        <v>393</v>
      </c>
      <c r="B33" s="11">
        <v>30</v>
      </c>
      <c r="C33" s="6"/>
      <c r="D33" s="6"/>
      <c r="E33" s="260">
        <v>391</v>
      </c>
      <c r="F33" s="11">
        <v>30</v>
      </c>
      <c r="G33" s="6"/>
      <c r="H33" s="6"/>
      <c r="I33" s="260">
        <v>396</v>
      </c>
      <c r="J33" s="11">
        <v>30</v>
      </c>
      <c r="K33" s="6"/>
      <c r="L33" s="6"/>
      <c r="M33" s="260">
        <v>395</v>
      </c>
      <c r="N33" s="11">
        <v>30</v>
      </c>
      <c r="O33" s="6"/>
      <c r="P33" s="6"/>
      <c r="Q33" s="260">
        <v>394</v>
      </c>
      <c r="R33" s="11">
        <v>30</v>
      </c>
      <c r="S33" s="7"/>
    </row>
    <row r="34" spans="1:19">
      <c r="A34" s="260">
        <v>351</v>
      </c>
      <c r="B34" s="11">
        <v>40</v>
      </c>
      <c r="C34" s="6"/>
      <c r="D34" s="6"/>
      <c r="E34" s="260">
        <v>347</v>
      </c>
      <c r="F34" s="11">
        <v>40</v>
      </c>
      <c r="G34" s="6"/>
      <c r="H34" s="6"/>
      <c r="I34" s="260">
        <v>352</v>
      </c>
      <c r="J34" s="11">
        <v>40</v>
      </c>
      <c r="K34" s="6"/>
      <c r="L34" s="6"/>
      <c r="M34" s="260">
        <v>351</v>
      </c>
      <c r="N34" s="11">
        <v>40</v>
      </c>
      <c r="O34" s="6"/>
      <c r="P34" s="6"/>
      <c r="Q34" s="260">
        <v>350</v>
      </c>
      <c r="R34" s="11">
        <v>40</v>
      </c>
      <c r="S34" s="7"/>
    </row>
    <row r="35" spans="1:19">
      <c r="A35" s="260">
        <v>309</v>
      </c>
      <c r="B35" s="11">
        <v>50</v>
      </c>
      <c r="C35" s="6"/>
      <c r="D35" s="6"/>
      <c r="E35" s="260">
        <v>304</v>
      </c>
      <c r="F35" s="11">
        <v>50</v>
      </c>
      <c r="G35" s="6"/>
      <c r="H35" s="6"/>
      <c r="I35" s="260">
        <v>309</v>
      </c>
      <c r="J35" s="11">
        <v>50</v>
      </c>
      <c r="K35" s="6"/>
      <c r="L35" s="6"/>
      <c r="M35" s="260">
        <v>307</v>
      </c>
      <c r="N35" s="11">
        <v>50</v>
      </c>
      <c r="O35" s="6"/>
      <c r="P35" s="6"/>
      <c r="Q35" s="260">
        <v>304</v>
      </c>
      <c r="R35" s="11">
        <v>50</v>
      </c>
      <c r="S35" s="7"/>
    </row>
    <row r="36" spans="1:19">
      <c r="A36" s="260">
        <v>264</v>
      </c>
      <c r="B36" s="11">
        <v>60</v>
      </c>
      <c r="C36" s="6"/>
      <c r="D36" s="6"/>
      <c r="E36" s="260">
        <v>259</v>
      </c>
      <c r="F36" s="11">
        <v>60</v>
      </c>
      <c r="G36" s="6"/>
      <c r="H36" s="6"/>
      <c r="I36" s="260">
        <v>265</v>
      </c>
      <c r="J36" s="11">
        <v>60</v>
      </c>
      <c r="K36" s="6"/>
      <c r="L36" s="6"/>
      <c r="M36" s="260">
        <v>262</v>
      </c>
      <c r="N36" s="11">
        <v>60</v>
      </c>
      <c r="O36" s="6"/>
      <c r="P36" s="6"/>
      <c r="Q36" s="260">
        <v>260</v>
      </c>
      <c r="R36" s="11">
        <v>60</v>
      </c>
      <c r="S36" s="7"/>
    </row>
    <row r="37" spans="1:19">
      <c r="A37" s="260">
        <v>222</v>
      </c>
      <c r="B37" s="11">
        <v>70</v>
      </c>
      <c r="C37" s="6"/>
      <c r="D37" s="6"/>
      <c r="E37" s="260">
        <v>216</v>
      </c>
      <c r="F37" s="11">
        <v>70</v>
      </c>
      <c r="G37" s="6"/>
      <c r="H37" s="6"/>
      <c r="I37" s="260">
        <v>222</v>
      </c>
      <c r="J37" s="11">
        <v>70</v>
      </c>
      <c r="K37" s="6"/>
      <c r="L37" s="6"/>
      <c r="M37" s="260">
        <v>218</v>
      </c>
      <c r="N37" s="11">
        <v>70</v>
      </c>
      <c r="O37" s="6"/>
      <c r="P37" s="6"/>
      <c r="Q37" s="260">
        <v>215</v>
      </c>
      <c r="R37" s="11">
        <v>70</v>
      </c>
      <c r="S37" s="7"/>
    </row>
    <row r="38" spans="1:19">
      <c r="A38" s="260">
        <v>179</v>
      </c>
      <c r="B38" s="11">
        <v>80</v>
      </c>
      <c r="C38" s="6"/>
      <c r="D38" s="6"/>
      <c r="E38" s="260">
        <v>173</v>
      </c>
      <c r="F38" s="11">
        <v>80</v>
      </c>
      <c r="G38" s="6"/>
      <c r="H38" s="6"/>
      <c r="I38" s="260">
        <v>178</v>
      </c>
      <c r="J38" s="11">
        <v>80</v>
      </c>
      <c r="K38" s="6"/>
      <c r="L38" s="6"/>
      <c r="M38" s="260">
        <v>174</v>
      </c>
      <c r="N38" s="11">
        <v>80</v>
      </c>
      <c r="O38" s="6"/>
      <c r="P38" s="6"/>
      <c r="Q38" s="260">
        <v>170</v>
      </c>
      <c r="R38" s="11">
        <v>80</v>
      </c>
      <c r="S38" s="7"/>
    </row>
    <row r="39" spans="1:19">
      <c r="A39" s="260">
        <v>136</v>
      </c>
      <c r="B39" s="11">
        <v>90</v>
      </c>
      <c r="C39" s="6"/>
      <c r="D39" s="6"/>
      <c r="E39" s="260">
        <v>129</v>
      </c>
      <c r="F39" s="11">
        <v>90</v>
      </c>
      <c r="G39" s="6"/>
      <c r="H39" s="6"/>
      <c r="I39" s="260">
        <v>135</v>
      </c>
      <c r="J39" s="11">
        <v>90</v>
      </c>
      <c r="K39" s="6"/>
      <c r="L39" s="6"/>
      <c r="M39" s="260">
        <v>128</v>
      </c>
      <c r="N39" s="11">
        <v>90</v>
      </c>
      <c r="O39" s="6"/>
      <c r="P39" s="6"/>
      <c r="Q39" s="260">
        <v>126</v>
      </c>
      <c r="R39" s="11">
        <v>90</v>
      </c>
      <c r="S39" s="7"/>
    </row>
    <row r="40" spans="1:19">
      <c r="A40" s="6"/>
      <c r="B40" s="11"/>
      <c r="C40" s="6"/>
      <c r="D40" s="6"/>
      <c r="E40" s="260">
        <v>86</v>
      </c>
      <c r="F40" s="11">
        <v>100</v>
      </c>
      <c r="G40" s="6"/>
      <c r="H40" s="6"/>
      <c r="I40" s="260">
        <v>93</v>
      </c>
      <c r="J40" s="11">
        <v>100</v>
      </c>
      <c r="K40" s="6"/>
      <c r="L40" s="6"/>
      <c r="M40" s="260">
        <v>86</v>
      </c>
      <c r="N40" s="11">
        <v>100</v>
      </c>
      <c r="O40" s="6"/>
      <c r="P40" s="6"/>
      <c r="Q40" s="260">
        <v>82</v>
      </c>
      <c r="R40" s="11">
        <v>100</v>
      </c>
      <c r="S40" s="7"/>
    </row>
    <row r="41" spans="1:19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</row>
    <row r="42" spans="1:19">
      <c r="A42" s="6" t="s">
        <v>37</v>
      </c>
      <c r="B42" s="6">
        <f>SLOPE(B31:B39,A31:A39)</f>
        <v>-0.23327528660571759</v>
      </c>
      <c r="C42" s="6"/>
      <c r="D42" s="6"/>
      <c r="E42" s="6" t="s">
        <v>37</v>
      </c>
      <c r="F42" s="6">
        <f>SLOPE(F31:F40,E31:E40)</f>
        <v>-0.22973813307538177</v>
      </c>
      <c r="G42" s="6"/>
      <c r="H42" s="6"/>
      <c r="I42" s="6" t="s">
        <v>37</v>
      </c>
      <c r="J42" s="6">
        <f>SLOPE(J31:J40,I31:I40)</f>
        <v>-0.2306691630833885</v>
      </c>
      <c r="K42" s="6"/>
      <c r="L42" s="6"/>
      <c r="M42" s="6" t="s">
        <v>37</v>
      </c>
      <c r="N42" s="6">
        <f>SLOPE(N31:N40,M31:M40)</f>
        <v>-0.22583620600119692</v>
      </c>
      <c r="O42" s="6"/>
      <c r="P42" s="6"/>
      <c r="Q42" s="6" t="s">
        <v>37</v>
      </c>
      <c r="R42" s="6">
        <f>SLOPE(R31:R40,Q31:Q40)</f>
        <v>-0.2239081250482364</v>
      </c>
      <c r="S42" s="7"/>
    </row>
    <row r="43" spans="1:19">
      <c r="A43" s="116" t="s">
        <v>38</v>
      </c>
      <c r="B43" s="6">
        <f>INTERCEPT(B30:B40,A30:A40)</f>
        <v>121.77102984569245</v>
      </c>
      <c r="C43" s="6"/>
      <c r="D43" s="6"/>
      <c r="E43" s="116" t="s">
        <v>38</v>
      </c>
      <c r="F43" s="6">
        <f>INTERCEPT(F30:F40,E30:E40)</f>
        <v>119.6942582740275</v>
      </c>
      <c r="G43" s="6"/>
      <c r="H43" s="6"/>
      <c r="I43" s="116" t="s">
        <v>38</v>
      </c>
      <c r="J43" s="6">
        <f>INTERCEPT(J30:J40,I30:I40)</f>
        <v>121.22511672124084</v>
      </c>
      <c r="K43" s="6"/>
      <c r="L43" s="6"/>
      <c r="M43" s="116" t="s">
        <v>38</v>
      </c>
      <c r="N43" s="6">
        <f>INTERCEPT(N30:N40,M30:M40)</f>
        <v>119.22781698674039</v>
      </c>
      <c r="O43" s="6"/>
      <c r="P43" s="6"/>
      <c r="Q43" s="116" t="s">
        <v>38</v>
      </c>
      <c r="R43" s="6">
        <f>INTERCEPT(R30:R40,Q30:Q40)</f>
        <v>118.20926370111714</v>
      </c>
      <c r="S43" s="10"/>
    </row>
    <row r="44" spans="1:19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9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9">
      <c r="A46" s="6" t="s">
        <v>21</v>
      </c>
      <c r="B46" s="6"/>
      <c r="C46" s="6"/>
      <c r="D46" s="6"/>
      <c r="E46" s="6" t="s">
        <v>21</v>
      </c>
      <c r="F46" s="6"/>
      <c r="G46" s="6"/>
      <c r="H46" s="6"/>
      <c r="I46" s="6" t="s">
        <v>21</v>
      </c>
      <c r="J46" s="6"/>
      <c r="K46" s="6"/>
      <c r="L46" s="6"/>
      <c r="M46" s="6" t="s">
        <v>21</v>
      </c>
      <c r="N46" s="6"/>
      <c r="O46" s="6"/>
      <c r="P46" s="6"/>
      <c r="Q46" s="6" t="s">
        <v>21</v>
      </c>
      <c r="R46" s="6"/>
      <c r="S46" s="4"/>
    </row>
    <row r="47" spans="1:19">
      <c r="A47" s="116" t="s">
        <v>87</v>
      </c>
      <c r="B47" s="116" t="s">
        <v>89</v>
      </c>
      <c r="C47" s="6"/>
      <c r="D47" s="6"/>
      <c r="E47" s="116" t="s">
        <v>90</v>
      </c>
      <c r="F47" s="116" t="s">
        <v>88</v>
      </c>
      <c r="G47" s="6"/>
      <c r="H47" s="6"/>
      <c r="I47" s="116" t="s">
        <v>90</v>
      </c>
      <c r="J47" s="116" t="s">
        <v>89</v>
      </c>
      <c r="K47" s="6"/>
      <c r="L47" s="6"/>
      <c r="M47" s="116" t="s">
        <v>91</v>
      </c>
      <c r="N47" s="116"/>
      <c r="O47" s="6"/>
      <c r="P47" s="6"/>
      <c r="Q47" s="116" t="s">
        <v>92</v>
      </c>
      <c r="R47" s="116"/>
      <c r="S47" s="7"/>
    </row>
    <row r="48" spans="1:19">
      <c r="A48" s="116" t="s">
        <v>81</v>
      </c>
      <c r="B48" s="6" t="s">
        <v>25</v>
      </c>
      <c r="C48" s="6"/>
      <c r="D48" s="6"/>
      <c r="E48" s="116" t="s">
        <v>81</v>
      </c>
      <c r="F48" s="6" t="s">
        <v>25</v>
      </c>
      <c r="G48" s="6"/>
      <c r="H48" s="6"/>
      <c r="I48" s="116" t="s">
        <v>81</v>
      </c>
      <c r="J48" s="6" t="s">
        <v>25</v>
      </c>
      <c r="K48" s="6"/>
      <c r="L48" s="6"/>
      <c r="M48" s="116" t="s">
        <v>81</v>
      </c>
      <c r="N48" s="6" t="s">
        <v>25</v>
      </c>
      <c r="O48" s="6"/>
      <c r="P48" s="6"/>
      <c r="Q48" s="116" t="s">
        <v>81</v>
      </c>
      <c r="R48" s="6" t="s">
        <v>25</v>
      </c>
      <c r="S48" s="7"/>
    </row>
    <row r="49" spans="1:19">
      <c r="A49" s="260"/>
      <c r="B49" s="6">
        <v>10</v>
      </c>
      <c r="C49" s="6"/>
      <c r="D49" s="6"/>
      <c r="E49" s="260">
        <v>475</v>
      </c>
      <c r="F49" s="6">
        <v>10</v>
      </c>
      <c r="G49" s="6"/>
      <c r="H49" s="6"/>
      <c r="I49" s="260"/>
      <c r="J49" s="6">
        <v>10</v>
      </c>
      <c r="K49" s="6"/>
      <c r="L49" s="6"/>
      <c r="M49" s="260">
        <v>478</v>
      </c>
      <c r="N49" s="6">
        <v>10</v>
      </c>
      <c r="O49" s="6"/>
      <c r="P49" s="6"/>
      <c r="Q49" s="260">
        <v>478</v>
      </c>
      <c r="R49" s="6">
        <v>10</v>
      </c>
      <c r="S49" s="7"/>
    </row>
    <row r="50" spans="1:19">
      <c r="A50" s="260"/>
      <c r="B50" s="6">
        <v>20</v>
      </c>
      <c r="C50" s="6"/>
      <c r="D50" s="6"/>
      <c r="E50" s="260">
        <v>432</v>
      </c>
      <c r="F50" s="6">
        <v>20</v>
      </c>
      <c r="G50" s="6"/>
      <c r="H50" s="6"/>
      <c r="I50" s="260"/>
      <c r="J50" s="6">
        <v>20</v>
      </c>
      <c r="K50" s="6"/>
      <c r="L50" s="6"/>
      <c r="M50" s="260">
        <v>434</v>
      </c>
      <c r="N50" s="6">
        <v>20</v>
      </c>
      <c r="O50" s="6"/>
      <c r="P50" s="6"/>
      <c r="Q50" s="260">
        <v>434</v>
      </c>
      <c r="R50" s="6">
        <v>20</v>
      </c>
      <c r="S50" s="7"/>
    </row>
    <row r="51" spans="1:19">
      <c r="A51" s="260"/>
      <c r="B51" s="11">
        <v>30</v>
      </c>
      <c r="C51" s="6"/>
      <c r="D51" s="6"/>
      <c r="E51" s="260">
        <v>388</v>
      </c>
      <c r="F51" s="11">
        <v>30</v>
      </c>
      <c r="G51" s="6"/>
      <c r="H51" s="6"/>
      <c r="I51" s="260"/>
      <c r="J51" s="11">
        <v>30</v>
      </c>
      <c r="K51" s="6"/>
      <c r="L51" s="6"/>
      <c r="M51" s="260">
        <v>391</v>
      </c>
      <c r="N51" s="11">
        <v>30</v>
      </c>
      <c r="O51" s="6"/>
      <c r="P51" s="6"/>
      <c r="Q51" s="260">
        <v>391</v>
      </c>
      <c r="R51" s="11">
        <v>30</v>
      </c>
      <c r="S51" s="7"/>
    </row>
    <row r="52" spans="1:19">
      <c r="A52" s="260"/>
      <c r="B52" s="11">
        <v>40</v>
      </c>
      <c r="C52" s="6"/>
      <c r="D52" s="6"/>
      <c r="E52" s="260">
        <v>344</v>
      </c>
      <c r="F52" s="11">
        <v>40</v>
      </c>
      <c r="G52" s="6"/>
      <c r="H52" s="6"/>
      <c r="I52" s="260"/>
      <c r="J52" s="11">
        <v>40</v>
      </c>
      <c r="K52" s="6"/>
      <c r="L52" s="6"/>
      <c r="M52" s="260">
        <v>348</v>
      </c>
      <c r="N52" s="11">
        <v>40</v>
      </c>
      <c r="O52" s="6"/>
      <c r="P52" s="6"/>
      <c r="Q52" s="260">
        <v>347</v>
      </c>
      <c r="R52" s="11">
        <v>40</v>
      </c>
      <c r="S52" s="7"/>
    </row>
    <row r="53" spans="1:19">
      <c r="A53" s="260"/>
      <c r="B53" s="11">
        <v>50</v>
      </c>
      <c r="C53" s="6"/>
      <c r="D53" s="6"/>
      <c r="E53" s="260">
        <v>300</v>
      </c>
      <c r="F53" s="11">
        <v>50</v>
      </c>
      <c r="G53" s="6"/>
      <c r="H53" s="6"/>
      <c r="I53" s="260"/>
      <c r="J53" s="11">
        <v>50</v>
      </c>
      <c r="K53" s="6"/>
      <c r="L53" s="6"/>
      <c r="M53" s="260">
        <v>304</v>
      </c>
      <c r="N53" s="11">
        <v>50</v>
      </c>
      <c r="O53" s="6"/>
      <c r="P53" s="6"/>
      <c r="Q53" s="260">
        <v>304</v>
      </c>
      <c r="R53" s="11">
        <v>50</v>
      </c>
      <c r="S53" s="7"/>
    </row>
    <row r="54" spans="1:19">
      <c r="A54" s="260"/>
      <c r="B54" s="11">
        <v>60</v>
      </c>
      <c r="C54" s="6"/>
      <c r="D54" s="6"/>
      <c r="E54" s="260">
        <v>256</v>
      </c>
      <c r="F54" s="11">
        <v>60</v>
      </c>
      <c r="G54" s="6"/>
      <c r="H54" s="6"/>
      <c r="I54" s="260"/>
      <c r="J54" s="11">
        <v>60</v>
      </c>
      <c r="K54" s="6"/>
      <c r="L54" s="6"/>
      <c r="M54" s="260">
        <v>260</v>
      </c>
      <c r="N54" s="11">
        <v>60</v>
      </c>
      <c r="O54" s="6"/>
      <c r="P54" s="6"/>
      <c r="Q54" s="260">
        <v>260</v>
      </c>
      <c r="R54" s="11">
        <v>60</v>
      </c>
      <c r="S54" s="7"/>
    </row>
    <row r="55" spans="1:19">
      <c r="A55" s="260"/>
      <c r="B55" s="11">
        <v>70</v>
      </c>
      <c r="C55" s="6"/>
      <c r="D55" s="6"/>
      <c r="E55" s="260">
        <v>211</v>
      </c>
      <c r="F55" s="11">
        <v>70</v>
      </c>
      <c r="G55" s="6"/>
      <c r="H55" s="6"/>
      <c r="I55" s="260"/>
      <c r="J55" s="11">
        <v>70</v>
      </c>
      <c r="K55" s="6"/>
      <c r="L55" s="6"/>
      <c r="M55" s="260">
        <v>216</v>
      </c>
      <c r="N55" s="11">
        <v>70</v>
      </c>
      <c r="O55" s="6"/>
      <c r="P55" s="6"/>
      <c r="Q55" s="260">
        <v>216</v>
      </c>
      <c r="R55" s="11">
        <v>70</v>
      </c>
      <c r="S55" s="7"/>
    </row>
    <row r="56" spans="1:19">
      <c r="A56" s="260"/>
      <c r="B56" s="11">
        <v>80</v>
      </c>
      <c r="C56" s="6"/>
      <c r="D56" s="6"/>
      <c r="E56" s="260">
        <v>167</v>
      </c>
      <c r="F56" s="11">
        <v>80</v>
      </c>
      <c r="G56" s="6"/>
      <c r="H56" s="6"/>
      <c r="I56" s="260"/>
      <c r="J56" s="11">
        <v>80</v>
      </c>
      <c r="K56" s="6"/>
      <c r="L56" s="6"/>
      <c r="M56" s="260">
        <v>173</v>
      </c>
      <c r="N56" s="11">
        <v>80</v>
      </c>
      <c r="O56" s="6"/>
      <c r="P56" s="6"/>
      <c r="Q56" s="260">
        <v>173</v>
      </c>
      <c r="R56" s="11">
        <v>80</v>
      </c>
      <c r="S56" s="7"/>
    </row>
    <row r="57" spans="1:19">
      <c r="A57" s="260"/>
      <c r="B57" s="11">
        <v>90</v>
      </c>
      <c r="C57" s="6"/>
      <c r="D57" s="6"/>
      <c r="E57" s="260">
        <v>124</v>
      </c>
      <c r="F57" s="11">
        <v>90</v>
      </c>
      <c r="G57" s="6"/>
      <c r="H57" s="6"/>
      <c r="I57" s="260"/>
      <c r="J57" s="11">
        <v>90</v>
      </c>
      <c r="K57" s="6"/>
      <c r="L57" s="6"/>
      <c r="M57" s="260">
        <v>130</v>
      </c>
      <c r="N57" s="11">
        <v>90</v>
      </c>
      <c r="O57" s="6"/>
      <c r="P57" s="6"/>
      <c r="Q57" s="260">
        <v>129</v>
      </c>
      <c r="R57" s="11">
        <v>90</v>
      </c>
      <c r="S57" s="7"/>
    </row>
    <row r="58" spans="1:19">
      <c r="A58" s="260"/>
      <c r="B58" s="11">
        <v>100</v>
      </c>
      <c r="C58" s="6"/>
      <c r="D58" s="6"/>
      <c r="E58" s="260">
        <v>80</v>
      </c>
      <c r="F58" s="11">
        <v>100</v>
      </c>
      <c r="G58" s="6"/>
      <c r="H58" s="6"/>
      <c r="I58" s="260"/>
      <c r="J58" s="11">
        <v>100</v>
      </c>
      <c r="K58" s="6"/>
      <c r="L58" s="6"/>
      <c r="M58" s="260">
        <v>87</v>
      </c>
      <c r="N58" s="11">
        <v>100</v>
      </c>
      <c r="O58" s="6"/>
      <c r="P58" s="6"/>
      <c r="Q58" s="260">
        <v>87</v>
      </c>
      <c r="R58" s="11">
        <v>100</v>
      </c>
      <c r="S58" s="7"/>
    </row>
    <row r="59" spans="1:1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7"/>
    </row>
    <row r="60" spans="1:19">
      <c r="A60" s="6" t="s">
        <v>37</v>
      </c>
      <c r="B60" s="6" t="e">
        <f>SLOPE(B49:B58,A49:A58)</f>
        <v>#DIV/0!</v>
      </c>
      <c r="C60" s="6"/>
      <c r="D60" s="6"/>
      <c r="E60" s="6" t="s">
        <v>37</v>
      </c>
      <c r="F60" s="6">
        <f>SLOPE(F49:F58,E49:E58)</f>
        <v>-0.22730105130258943</v>
      </c>
      <c r="G60" s="6"/>
      <c r="H60" s="6"/>
      <c r="I60" s="6" t="s">
        <v>37</v>
      </c>
      <c r="J60" s="6" t="e">
        <f>SLOPE(J49:J58,I49:I58)</f>
        <v>#DIV/0!</v>
      </c>
      <c r="K60" s="6"/>
      <c r="L60" s="6"/>
      <c r="M60" s="6" t="s">
        <v>37</v>
      </c>
      <c r="N60" s="6">
        <f>SLOPE(N49:N58,M49:M58)</f>
        <v>-0.22989809143262036</v>
      </c>
      <c r="O60" s="6"/>
      <c r="P60" s="6"/>
      <c r="Q60" s="6" t="s">
        <v>37</v>
      </c>
      <c r="R60" s="6">
        <f>SLOPE(R49:R58,Q49:Q58)</f>
        <v>-0.22977008912430108</v>
      </c>
      <c r="S60" s="7"/>
    </row>
    <row r="61" spans="1:19">
      <c r="A61" s="116" t="s">
        <v>38</v>
      </c>
      <c r="B61" s="6" t="e">
        <f>INTERCEPT(B48:B58,A48:A58)</f>
        <v>#DIV/0!</v>
      </c>
      <c r="C61" s="6"/>
      <c r="D61" s="6"/>
      <c r="E61" s="116" t="s">
        <v>38</v>
      </c>
      <c r="F61" s="6">
        <f>INTERCEPT(F48:F58,E48:E58)</f>
        <v>118.12150194672908</v>
      </c>
      <c r="G61" s="6"/>
      <c r="H61" s="6"/>
      <c r="I61" s="116" t="s">
        <v>38</v>
      </c>
      <c r="J61" s="6" t="e">
        <f>INTERCEPT(J48:J58,I48:I58)</f>
        <v>#DIV/0!</v>
      </c>
      <c r="K61" s="6"/>
      <c r="L61" s="6"/>
      <c r="M61" s="116" t="s">
        <v>38</v>
      </c>
      <c r="N61" s="6">
        <f>INTERCEPT(N48:N58,M48:M58)</f>
        <v>119.85425159314221</v>
      </c>
      <c r="O61" s="6"/>
      <c r="P61" s="6"/>
      <c r="Q61" s="116" t="s">
        <v>38</v>
      </c>
      <c r="R61" s="6">
        <f>INTERCEPT(R48:R58,Q48:Q58)</f>
        <v>119.77218812414047</v>
      </c>
      <c r="S61" s="10"/>
    </row>
    <row r="62" spans="1:19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9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9">
      <c r="A64" s="6" t="s">
        <v>21</v>
      </c>
      <c r="B64" s="6"/>
      <c r="C64" s="6"/>
      <c r="D64" s="6"/>
      <c r="E64" s="6" t="s">
        <v>21</v>
      </c>
      <c r="F64" s="6"/>
      <c r="G64" s="6"/>
      <c r="H64" s="6"/>
      <c r="I64" s="6"/>
      <c r="J64" s="6" t="s">
        <v>21</v>
      </c>
      <c r="K64" s="6"/>
      <c r="L64" s="6"/>
      <c r="M64" s="6" t="s">
        <v>21</v>
      </c>
      <c r="N64" s="6"/>
      <c r="O64" s="6"/>
      <c r="P64" s="6"/>
      <c r="Q64" s="6" t="s">
        <v>21</v>
      </c>
      <c r="R64" s="6"/>
    </row>
    <row r="65" spans="1:18">
      <c r="A65" s="116" t="s">
        <v>93</v>
      </c>
      <c r="B65" s="116"/>
      <c r="C65" s="6"/>
      <c r="D65" s="6"/>
      <c r="E65" s="116" t="s">
        <v>94</v>
      </c>
      <c r="F65" s="116"/>
      <c r="G65" s="6"/>
      <c r="H65" s="6"/>
      <c r="I65" s="6"/>
      <c r="J65" s="116" t="s">
        <v>94</v>
      </c>
      <c r="K65" s="116" t="s">
        <v>89</v>
      </c>
      <c r="L65" s="6"/>
      <c r="M65" s="116" t="s">
        <v>84</v>
      </c>
      <c r="N65" s="116" t="s">
        <v>137</v>
      </c>
      <c r="O65" s="6"/>
      <c r="P65" s="6"/>
      <c r="Q65" s="6" t="s">
        <v>84</v>
      </c>
      <c r="R65" s="6" t="s">
        <v>137</v>
      </c>
    </row>
    <row r="66" spans="1:18">
      <c r="A66" s="116" t="s">
        <v>81</v>
      </c>
      <c r="B66" s="6" t="s">
        <v>25</v>
      </c>
      <c r="C66" s="6"/>
      <c r="D66" s="6"/>
      <c r="E66" s="116" t="s">
        <v>81</v>
      </c>
      <c r="F66" s="6" t="s">
        <v>25</v>
      </c>
      <c r="G66" s="6"/>
      <c r="H66" s="6"/>
      <c r="I66" s="6"/>
      <c r="J66" s="116" t="s">
        <v>81</v>
      </c>
      <c r="K66" s="6" t="s">
        <v>25</v>
      </c>
      <c r="L66" s="6"/>
      <c r="M66" s="116" t="s">
        <v>81</v>
      </c>
      <c r="N66" s="6" t="s">
        <v>25</v>
      </c>
      <c r="O66" s="6"/>
      <c r="P66" s="6"/>
      <c r="Q66" s="6" t="s">
        <v>81</v>
      </c>
      <c r="R66" s="6" t="s">
        <v>25</v>
      </c>
    </row>
    <row r="67" spans="1:18">
      <c r="A67" s="260">
        <v>479</v>
      </c>
      <c r="B67" s="6">
        <v>10</v>
      </c>
      <c r="C67" s="6"/>
      <c r="D67" s="6"/>
      <c r="E67" s="260">
        <v>476</v>
      </c>
      <c r="F67" s="6">
        <v>10</v>
      </c>
      <c r="G67" s="6"/>
      <c r="H67" s="6"/>
      <c r="I67" s="6"/>
      <c r="J67" s="260">
        <v>476</v>
      </c>
      <c r="K67" s="6">
        <v>10</v>
      </c>
      <c r="L67" s="6"/>
      <c r="M67" s="260">
        <v>501</v>
      </c>
      <c r="N67" s="6">
        <v>10</v>
      </c>
      <c r="O67" s="6"/>
      <c r="P67" s="6"/>
      <c r="Q67" s="6">
        <v>501</v>
      </c>
      <c r="R67" s="6">
        <v>10</v>
      </c>
    </row>
    <row r="68" spans="1:18">
      <c r="A68" s="260">
        <v>434</v>
      </c>
      <c r="B68" s="6">
        <v>20</v>
      </c>
      <c r="C68" s="6"/>
      <c r="D68" s="6"/>
      <c r="E68" s="260">
        <v>432</v>
      </c>
      <c r="F68" s="6">
        <v>20</v>
      </c>
      <c r="G68" s="6"/>
      <c r="H68" s="6"/>
      <c r="I68" s="6"/>
      <c r="J68" s="260">
        <v>432</v>
      </c>
      <c r="K68" s="6">
        <v>20</v>
      </c>
      <c r="L68" s="6"/>
      <c r="M68" s="260">
        <v>451</v>
      </c>
      <c r="N68" s="6">
        <v>20</v>
      </c>
      <c r="O68" s="6"/>
      <c r="P68" s="6"/>
      <c r="Q68" s="6">
        <v>451</v>
      </c>
      <c r="R68" s="6">
        <v>20</v>
      </c>
    </row>
    <row r="69" spans="1:18">
      <c r="A69" s="260">
        <v>390</v>
      </c>
      <c r="B69" s="11">
        <v>30</v>
      </c>
      <c r="C69" s="6"/>
      <c r="D69" s="6"/>
      <c r="E69" s="260">
        <v>389</v>
      </c>
      <c r="F69" s="11">
        <v>30</v>
      </c>
      <c r="G69" s="6"/>
      <c r="H69" s="6"/>
      <c r="I69" s="6"/>
      <c r="J69" s="260">
        <v>390</v>
      </c>
      <c r="K69" s="11">
        <v>30</v>
      </c>
      <c r="L69" s="6"/>
      <c r="M69" s="260">
        <v>402</v>
      </c>
      <c r="N69" s="11">
        <v>30</v>
      </c>
      <c r="O69" s="6"/>
      <c r="P69" s="6"/>
      <c r="Q69" s="6">
        <v>402</v>
      </c>
      <c r="R69" s="6">
        <v>30</v>
      </c>
    </row>
    <row r="70" spans="1:18">
      <c r="A70" s="260">
        <v>345</v>
      </c>
      <c r="B70" s="11">
        <v>40</v>
      </c>
      <c r="C70" s="6"/>
      <c r="D70" s="6"/>
      <c r="E70" s="260">
        <v>346</v>
      </c>
      <c r="F70" s="11">
        <v>40</v>
      </c>
      <c r="G70" s="6"/>
      <c r="H70" s="6"/>
      <c r="I70" s="6"/>
      <c r="J70" s="260">
        <v>346</v>
      </c>
      <c r="K70" s="11">
        <v>40</v>
      </c>
      <c r="L70" s="6"/>
      <c r="M70" s="260">
        <v>353</v>
      </c>
      <c r="N70" s="11">
        <v>40</v>
      </c>
      <c r="O70" s="6"/>
      <c r="P70" s="6"/>
      <c r="Q70" s="6">
        <v>353</v>
      </c>
      <c r="R70" s="6">
        <v>40</v>
      </c>
    </row>
    <row r="71" spans="1:18">
      <c r="A71" s="260">
        <v>302</v>
      </c>
      <c r="B71" s="11">
        <v>50</v>
      </c>
      <c r="C71" s="6"/>
      <c r="D71" s="6"/>
      <c r="E71" s="260">
        <v>302</v>
      </c>
      <c r="F71" s="11">
        <v>50</v>
      </c>
      <c r="G71" s="6"/>
      <c r="H71" s="6"/>
      <c r="I71" s="6"/>
      <c r="J71" s="260">
        <v>302</v>
      </c>
      <c r="K71" s="11">
        <v>50</v>
      </c>
      <c r="L71" s="6"/>
      <c r="M71" s="260">
        <v>303</v>
      </c>
      <c r="N71" s="11">
        <v>50</v>
      </c>
      <c r="O71" s="6"/>
      <c r="P71" s="6"/>
      <c r="Q71" s="6">
        <v>303</v>
      </c>
      <c r="R71" s="6">
        <v>50</v>
      </c>
    </row>
    <row r="72" spans="1:18">
      <c r="A72" s="260">
        <v>256</v>
      </c>
      <c r="B72" s="11">
        <v>60</v>
      </c>
      <c r="C72" s="6"/>
      <c r="D72" s="6"/>
      <c r="E72" s="260">
        <v>258</v>
      </c>
      <c r="F72" s="11">
        <v>60</v>
      </c>
      <c r="G72" s="6"/>
      <c r="H72" s="6"/>
      <c r="I72" s="6"/>
      <c r="J72" s="260">
        <v>258</v>
      </c>
      <c r="K72" s="11">
        <v>60</v>
      </c>
      <c r="L72" s="6"/>
      <c r="M72" s="260">
        <v>253</v>
      </c>
      <c r="N72" s="11">
        <v>60</v>
      </c>
      <c r="O72" s="6"/>
      <c r="P72" s="6"/>
      <c r="Q72" s="6">
        <v>253</v>
      </c>
      <c r="R72" s="6">
        <v>60</v>
      </c>
    </row>
    <row r="73" spans="1:18">
      <c r="A73" s="260">
        <v>213</v>
      </c>
      <c r="B73" s="11">
        <v>70</v>
      </c>
      <c r="C73" s="6"/>
      <c r="D73" s="6"/>
      <c r="E73" s="260">
        <v>215</v>
      </c>
      <c r="F73" s="11">
        <v>70</v>
      </c>
      <c r="G73" s="6"/>
      <c r="H73" s="6"/>
      <c r="I73" s="6"/>
      <c r="J73" s="260">
        <v>215</v>
      </c>
      <c r="K73" s="11">
        <v>70</v>
      </c>
      <c r="L73" s="6"/>
      <c r="M73" s="260">
        <v>203</v>
      </c>
      <c r="N73" s="11">
        <v>70</v>
      </c>
      <c r="O73" s="6"/>
      <c r="P73" s="6"/>
      <c r="Q73" s="6">
        <v>203</v>
      </c>
      <c r="R73" s="6">
        <v>70</v>
      </c>
    </row>
    <row r="74" spans="1:18">
      <c r="A74" s="260">
        <v>168</v>
      </c>
      <c r="B74" s="11">
        <v>80</v>
      </c>
      <c r="C74" s="6"/>
      <c r="D74" s="6"/>
      <c r="E74" s="260">
        <v>171</v>
      </c>
      <c r="F74" s="11">
        <v>80</v>
      </c>
      <c r="G74" s="6"/>
      <c r="H74" s="6"/>
      <c r="I74" s="6"/>
      <c r="J74" s="260">
        <v>171</v>
      </c>
      <c r="K74" s="11">
        <v>80</v>
      </c>
      <c r="L74" s="6"/>
      <c r="M74" s="260">
        <v>154</v>
      </c>
      <c r="N74" s="11">
        <v>80</v>
      </c>
      <c r="O74" s="6"/>
      <c r="P74" s="6"/>
      <c r="Q74" s="6">
        <v>154</v>
      </c>
      <c r="R74" s="6">
        <v>80</v>
      </c>
    </row>
    <row r="75" spans="1:18">
      <c r="A75" s="260">
        <v>124</v>
      </c>
      <c r="B75" s="11">
        <v>90</v>
      </c>
      <c r="C75" s="6"/>
      <c r="D75" s="6"/>
      <c r="E75" s="260">
        <v>128</v>
      </c>
      <c r="F75" s="11">
        <v>90</v>
      </c>
      <c r="G75" s="6"/>
      <c r="H75" s="6"/>
      <c r="I75" s="6"/>
      <c r="J75" s="260">
        <v>128</v>
      </c>
      <c r="K75" s="11">
        <v>90</v>
      </c>
      <c r="L75" s="6"/>
      <c r="M75" s="260">
        <v>104</v>
      </c>
      <c r="N75" s="11">
        <v>90</v>
      </c>
      <c r="O75" s="6"/>
      <c r="P75" s="6"/>
      <c r="Q75" s="6">
        <v>104</v>
      </c>
      <c r="R75" s="6">
        <v>90</v>
      </c>
    </row>
    <row r="76" spans="1:18">
      <c r="A76" s="260">
        <v>81</v>
      </c>
      <c r="B76" s="11">
        <v>100</v>
      </c>
      <c r="C76" s="6"/>
      <c r="D76" s="6"/>
      <c r="E76" s="260">
        <v>85</v>
      </c>
      <c r="F76" s="11">
        <v>100</v>
      </c>
      <c r="G76" s="6"/>
      <c r="H76" s="6"/>
      <c r="I76" s="6"/>
      <c r="J76" s="260">
        <v>85</v>
      </c>
      <c r="K76" s="11">
        <v>100</v>
      </c>
      <c r="L76" s="6"/>
      <c r="M76" s="6">
        <v>57</v>
      </c>
      <c r="N76" s="11">
        <v>100</v>
      </c>
      <c r="O76" s="6"/>
      <c r="P76" s="6"/>
      <c r="Q76" s="6">
        <v>57</v>
      </c>
      <c r="R76" s="6">
        <v>100</v>
      </c>
    </row>
    <row r="77" spans="1:18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>
      <c r="A78" s="6" t="s">
        <v>37</v>
      </c>
      <c r="B78" s="6">
        <f>SLOPE(B67:B76,A67:A76)</f>
        <v>-0.22589839768014963</v>
      </c>
      <c r="C78" s="6"/>
      <c r="D78" s="6"/>
      <c r="E78" s="6" t="s">
        <v>37</v>
      </c>
      <c r="F78" s="6">
        <f>SLOPE(F67:F76,E67:E76)</f>
        <v>-0.22999546036281193</v>
      </c>
      <c r="G78" s="6"/>
      <c r="H78" s="6"/>
      <c r="I78" s="6"/>
      <c r="J78" s="6" t="s">
        <v>37</v>
      </c>
      <c r="K78" s="6">
        <f>SLOPE(K67:K76,J67:J76)</f>
        <v>-0.22983376030314109</v>
      </c>
      <c r="L78" s="6"/>
      <c r="M78" s="6" t="s">
        <v>37</v>
      </c>
      <c r="N78" s="6">
        <f>SLOPE(N67:N76,M67:M76)</f>
        <v>-0.20207705013540278</v>
      </c>
      <c r="O78" s="6"/>
      <c r="P78" s="6"/>
      <c r="Q78" s="6" t="s">
        <v>37</v>
      </c>
      <c r="R78" s="6">
        <v>-0.20207705013540278</v>
      </c>
    </row>
    <row r="79" spans="1:18">
      <c r="A79" s="116" t="s">
        <v>38</v>
      </c>
      <c r="B79" s="6">
        <f>INTERCEPT(B66:B76,A66:A76)</f>
        <v>118.07083263229777</v>
      </c>
      <c r="C79" s="6"/>
      <c r="D79" s="6"/>
      <c r="E79" s="116" t="s">
        <v>38</v>
      </c>
      <c r="F79" s="6">
        <f>INTERCEPT(F66:F76,E66:E76)</f>
        <v>119.4447279936599</v>
      </c>
      <c r="G79" s="6"/>
      <c r="H79" s="6"/>
      <c r="I79" s="6"/>
      <c r="J79" s="116" t="s">
        <v>38</v>
      </c>
      <c r="K79" s="6">
        <f>INTERCEPT(K66:K76,J66:J76)</f>
        <v>119.42240301297045</v>
      </c>
      <c r="L79" s="6"/>
      <c r="M79" s="116" t="s">
        <v>38</v>
      </c>
      <c r="N79" s="6">
        <f>INTERCEPT(N67:N76,M67:M76)</f>
        <v>111.19762764265552</v>
      </c>
      <c r="O79" s="6"/>
      <c r="P79" s="6"/>
      <c r="Q79" s="6" t="s">
        <v>38</v>
      </c>
      <c r="R79" s="6">
        <v>111.19762764265552</v>
      </c>
    </row>
    <row r="80" spans="1:18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</sheetData>
  <phoneticPr fontId="2" type="noConversion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12</vt:i4>
      </vt:variant>
    </vt:vector>
  </HeadingPairs>
  <TitlesOfParts>
    <vt:vector size="16" baseType="lpstr">
      <vt:lpstr>Smoke Point Datasheet</vt:lpstr>
      <vt:lpstr>Reference</vt:lpstr>
      <vt:lpstr>Smoke Point Datasheet (2)</vt:lpstr>
      <vt:lpstr>Reference (2)</vt:lpstr>
      <vt:lpstr>SH v. Coflow (2)</vt:lpstr>
      <vt:lpstr>SP - Fuel v. Air</vt:lpstr>
      <vt:lpstr>SH v. Coflow</vt:lpstr>
      <vt:lpstr>SH v. uf</vt:lpstr>
      <vt:lpstr>uf v. Coflow</vt:lpstr>
      <vt:lpstr>SH_d v. Re_Zst</vt:lpstr>
      <vt:lpstr>SH_d v. Re_Zst (2)</vt:lpstr>
      <vt:lpstr>SH_d v. Re</vt:lpstr>
      <vt:lpstr>SH v. ua_uf</vt:lpstr>
      <vt:lpstr>SH v. Mass Flow_Zst</vt:lpstr>
      <vt:lpstr>SH v. Mass Flow_Zst (2)</vt:lpstr>
      <vt:lpstr>SH v. Mass Flow</vt:lpstr>
    </vt:vector>
  </TitlesOfParts>
  <Company>University of Maryland - Fire Protection Engineering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Dotson</dc:creator>
  <cp:lastModifiedBy>smithpm</cp:lastModifiedBy>
  <cp:lastPrinted>2009-10-18T21:26:23Z</cp:lastPrinted>
  <dcterms:created xsi:type="dcterms:W3CDTF">2009-04-03T15:52:10Z</dcterms:created>
  <dcterms:modified xsi:type="dcterms:W3CDTF">2014-05-28T18:51:51Z</dcterms:modified>
</cp:coreProperties>
</file>